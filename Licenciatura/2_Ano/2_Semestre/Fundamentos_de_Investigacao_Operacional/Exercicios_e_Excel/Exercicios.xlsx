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esktop\Universidade\2 Ano\Fundamentos Investigação Operacional\"/>
    </mc:Choice>
  </mc:AlternateContent>
  <xr:revisionPtr revIDLastSave="0" documentId="13_ncr:1_{894E0923-E648-435C-AF94-80D67F078243}" xr6:coauthVersionLast="47" xr6:coauthVersionMax="47" xr10:uidLastSave="{00000000-0000-0000-0000-000000000000}"/>
  <bookViews>
    <workbookView minimized="1" xWindow="3864" yWindow="1800" windowWidth="17280" windowHeight="8964" xr2:uid="{7B6D1ADC-F6C8-43E3-A4B8-47238D2E17EB}"/>
  </bookViews>
  <sheets>
    <sheet name="Folha5Ex2.1" sheetId="1" r:id="rId1"/>
    <sheet name="Folha11Ex2.5" sheetId="3" r:id="rId2"/>
    <sheet name="Folha33EX4.2" sheetId="4" r:id="rId3"/>
  </sheets>
  <definedNames>
    <definedName name="solver_adj" localSheetId="1" hidden="1">Folha11Ex2.5!$C$3:$O$3</definedName>
    <definedName name="solver_adj" localSheetId="2" hidden="1">Folha33EX4.2!$P$5:$Y$14</definedName>
    <definedName name="solver_adj" localSheetId="0" hidden="1">Folha5Ex2.1!$D$6:$F$6</definedName>
    <definedName name="solver_cvg" localSheetId="1" hidden="1">0.0001</definedName>
    <definedName name="solver_cvg" localSheetId="2" hidden="1">0.0001</definedName>
    <definedName name="solver_cvg" localSheetId="0" hidden="1">0.0001</definedName>
    <definedName name="solver_drv" localSheetId="1" hidden="1">1</definedName>
    <definedName name="solver_drv" localSheetId="2" hidden="1">2</definedName>
    <definedName name="solver_drv" localSheetId="0" hidden="1">1</definedName>
    <definedName name="solver_eng" localSheetId="1" hidden="1">2</definedName>
    <definedName name="solver_eng" localSheetId="2" hidden="1">2</definedName>
    <definedName name="solver_eng" localSheetId="0" hidden="1">2</definedName>
    <definedName name="solver_est" localSheetId="1" hidden="1">1</definedName>
    <definedName name="solver_est" localSheetId="2" hidden="1">1</definedName>
    <definedName name="solver_est" localSheetId="0" hidden="1">1</definedName>
    <definedName name="solver_itr" localSheetId="1" hidden="1">2147483647</definedName>
    <definedName name="solver_itr" localSheetId="2" hidden="1">2147483647</definedName>
    <definedName name="solver_itr" localSheetId="0" hidden="1">2147483647</definedName>
    <definedName name="solver_lhs1" localSheetId="1" hidden="1">Folha11Ex2.5!$C$3:$O$3</definedName>
    <definedName name="solver_lhs1" localSheetId="2" hidden="1">Folha33EX4.2!$P$15:$Y$15</definedName>
    <definedName name="solver_lhs1" localSheetId="0" hidden="1">Folha5Ex2.1!$H$7:$H$10</definedName>
    <definedName name="solver_lhs2" localSheetId="1" hidden="1">Folha11Ex2.5!$Q$4:$Q$13</definedName>
    <definedName name="solver_lhs2" localSheetId="2" hidden="1">Folha33EX4.2!$P$5:$Y$14</definedName>
    <definedName name="solver_lhs3" localSheetId="2" hidden="1">Folha33EX4.2!$Z$5:$Z$14</definedName>
    <definedName name="solver_mip" localSheetId="1" hidden="1">2147483647</definedName>
    <definedName name="solver_mip" localSheetId="2" hidden="1">2147483647</definedName>
    <definedName name="solver_mip" localSheetId="0" hidden="1">2147483647</definedName>
    <definedName name="solver_mni" localSheetId="1" hidden="1">30</definedName>
    <definedName name="solver_mni" localSheetId="2" hidden="1">30</definedName>
    <definedName name="solver_mni" localSheetId="0" hidden="1">30</definedName>
    <definedName name="solver_mrt" localSheetId="1" hidden="1">0.075</definedName>
    <definedName name="solver_mrt" localSheetId="2" hidden="1">0.075</definedName>
    <definedName name="solver_mrt" localSheetId="0" hidden="1">0.075</definedName>
    <definedName name="solver_msl" localSheetId="1" hidden="1">2</definedName>
    <definedName name="solver_msl" localSheetId="2" hidden="1">2</definedName>
    <definedName name="solver_msl" localSheetId="0" hidden="1">2</definedName>
    <definedName name="solver_neg" localSheetId="1" hidden="1">1</definedName>
    <definedName name="solver_neg" localSheetId="2" hidden="1">1</definedName>
    <definedName name="solver_neg" localSheetId="0" hidden="1">1</definedName>
    <definedName name="solver_nod" localSheetId="1" hidden="1">2147483647</definedName>
    <definedName name="solver_nod" localSheetId="2" hidden="1">2147483647</definedName>
    <definedName name="solver_nod" localSheetId="0" hidden="1">2147483647</definedName>
    <definedName name="solver_num" localSheetId="1" hidden="1">2</definedName>
    <definedName name="solver_num" localSheetId="2" hidden="1">3</definedName>
    <definedName name="solver_num" localSheetId="0" hidden="1">1</definedName>
    <definedName name="solver_nwt" localSheetId="1" hidden="1">1</definedName>
    <definedName name="solver_nwt" localSheetId="2" hidden="1">1</definedName>
    <definedName name="solver_nwt" localSheetId="0" hidden="1">1</definedName>
    <definedName name="solver_opt" localSheetId="1" hidden="1">Folha11Ex2.5!$Q$15</definedName>
    <definedName name="solver_opt" localSheetId="2" hidden="1">Folha33EX4.2!$AC$16</definedName>
    <definedName name="solver_opt" localSheetId="0" hidden="1">Folha5Ex2.1!$H$12</definedName>
    <definedName name="solver_pre" localSheetId="1" hidden="1">0.000001</definedName>
    <definedName name="solver_pre" localSheetId="2" hidden="1">0.000001</definedName>
    <definedName name="solver_pre" localSheetId="0" hidden="1">0.000001</definedName>
    <definedName name="solver_rbv" localSheetId="1" hidden="1">1</definedName>
    <definedName name="solver_rbv" localSheetId="2" hidden="1">2</definedName>
    <definedName name="solver_rbv" localSheetId="0" hidden="1">1</definedName>
    <definedName name="solver_rel1" localSheetId="1" hidden="1">5</definedName>
    <definedName name="solver_rel1" localSheetId="2" hidden="1">2</definedName>
    <definedName name="solver_rel1" localSheetId="0" hidden="1">1</definedName>
    <definedName name="solver_rel2" localSheetId="1" hidden="1">1</definedName>
    <definedName name="solver_rel2" localSheetId="2" hidden="1">5</definedName>
    <definedName name="solver_rel3" localSheetId="2" hidden="1">2</definedName>
    <definedName name="solver_rhs1" localSheetId="1" hidden="1">"binário"</definedName>
    <definedName name="solver_rhs1" localSheetId="2" hidden="1">1</definedName>
    <definedName name="solver_rhs1" localSheetId="0" hidden="1">Folha5Ex2.1!$J$7:$J$10</definedName>
    <definedName name="solver_rhs2" localSheetId="1" hidden="1">Folha11Ex2.5!$R$4:$R$13</definedName>
    <definedName name="solver_rhs2" localSheetId="2" hidden="1">"binário"</definedName>
    <definedName name="solver_rhs3" localSheetId="2" hidden="1">1</definedName>
    <definedName name="solver_rlx" localSheetId="1" hidden="1">2</definedName>
    <definedName name="solver_rlx" localSheetId="2" hidden="1">2</definedName>
    <definedName name="solver_rlx" localSheetId="0" hidden="1">2</definedName>
    <definedName name="solver_rsd" localSheetId="1" hidden="1">0</definedName>
    <definedName name="solver_rsd" localSheetId="2" hidden="1">0</definedName>
    <definedName name="solver_rsd" localSheetId="0" hidden="1">0</definedName>
    <definedName name="solver_scl" localSheetId="1" hidden="1">2</definedName>
    <definedName name="solver_scl" localSheetId="2" hidden="1">2</definedName>
    <definedName name="solver_scl" localSheetId="0" hidden="1">1</definedName>
    <definedName name="solver_sho" localSheetId="1" hidden="1">2</definedName>
    <definedName name="solver_sho" localSheetId="2" hidden="1">2</definedName>
    <definedName name="solver_sho" localSheetId="0" hidden="1">2</definedName>
    <definedName name="solver_ssz" localSheetId="1" hidden="1">100</definedName>
    <definedName name="solver_ssz" localSheetId="2" hidden="1">100</definedName>
    <definedName name="solver_ssz" localSheetId="0" hidden="1">100</definedName>
    <definedName name="solver_tim" localSheetId="1" hidden="1">2147483647</definedName>
    <definedName name="solver_tim" localSheetId="2" hidden="1">2147483647</definedName>
    <definedName name="solver_tim" localSheetId="0" hidden="1">2147483647</definedName>
    <definedName name="solver_tol" localSheetId="1" hidden="1">0.01</definedName>
    <definedName name="solver_tol" localSheetId="2" hidden="1">0.01</definedName>
    <definedName name="solver_tol" localSheetId="0" hidden="1">0.01</definedName>
    <definedName name="solver_typ" localSheetId="1" hidden="1">1</definedName>
    <definedName name="solver_typ" localSheetId="2" hidden="1">2</definedName>
    <definedName name="solver_typ" localSheetId="0" hidden="1">1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AC16" i="4"/>
  <c r="Q15" i="4"/>
  <c r="R15" i="4"/>
  <c r="S15" i="4"/>
  <c r="T15" i="4"/>
  <c r="U15" i="4"/>
  <c r="V15" i="4"/>
  <c r="W15" i="4"/>
  <c r="X15" i="4"/>
  <c r="Y15" i="4"/>
  <c r="P15" i="4"/>
  <c r="Z6" i="4"/>
  <c r="Z7" i="4"/>
  <c r="Z8" i="4"/>
  <c r="Z9" i="4"/>
  <c r="Z10" i="4"/>
  <c r="Z11" i="4"/>
  <c r="Z12" i="4"/>
  <c r="Z13" i="4"/>
  <c r="Z14" i="4"/>
  <c r="Z5" i="4"/>
  <c r="Q15" i="3"/>
  <c r="Q5" i="3"/>
  <c r="Q6" i="3"/>
  <c r="Q7" i="3"/>
  <c r="Q8" i="3"/>
  <c r="Q9" i="3"/>
  <c r="Q10" i="3"/>
  <c r="Q11" i="3"/>
  <c r="Q12" i="3"/>
  <c r="Q13" i="3"/>
  <c r="Q4" i="3"/>
  <c r="H12" i="1"/>
  <c r="H8" i="1"/>
  <c r="H9" i="1"/>
  <c r="H10" i="1"/>
</calcChain>
</file>

<file path=xl/sharedStrings.xml><?xml version="1.0" encoding="utf-8"?>
<sst xmlns="http://schemas.openxmlformats.org/spreadsheetml/2006/main" count="104" uniqueCount="61">
  <si>
    <t>Produtos</t>
  </si>
  <si>
    <t>P1</t>
  </si>
  <si>
    <t>P2</t>
  </si>
  <si>
    <t>P3</t>
  </si>
  <si>
    <t>M1</t>
  </si>
  <si>
    <t>M2</t>
  </si>
  <si>
    <t>MP1</t>
  </si>
  <si>
    <t>MP2</t>
  </si>
  <si>
    <t>Recursos</t>
  </si>
  <si>
    <t>Disponibilidade</t>
  </si>
  <si>
    <t>h</t>
  </si>
  <si>
    <t>m</t>
  </si>
  <si>
    <t>Kg</t>
  </si>
  <si>
    <t>Lucro</t>
  </si>
  <si>
    <t>&lt;=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</si>
  <si>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</si>
  <si>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</si>
  <si>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</si>
  <si>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</si>
  <si>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</si>
  <si>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</si>
  <si>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</si>
  <si>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</si>
  <si>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</si>
  <si>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</si>
  <si>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</si>
  <si>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</si>
  <si>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</si>
  <si>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</si>
  <si>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</si>
  <si>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</si>
  <si>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</si>
  <si>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</si>
  <si>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</si>
  <si>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</si>
  <si>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</si>
  <si>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</si>
  <si>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</si>
  <si>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Ben.</t>
  </si>
  <si>
    <t>Total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</si>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</sst>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45F3-0D45-4996-87A5-FAD960775DEB}">
  <dimension ref="B5:K12"/>
  <sheetViews>
    <sheetView tabSelected="1" zoomScale="130" zoomScaleNormal="130" workbookViewId="0">
      <selection activeCell="G12" sqref="G12"/>
    </sheetView>
  </sheetViews>
  <sheetFormatPr defaultRowHeight="14.4" x14ac:dyDescent="0.3"/>
  <sheetData>
    <row r="5" spans="2:11" x14ac:dyDescent="0.3">
      <c r="C5" t="s">
        <v>0</v>
      </c>
      <c r="D5" t="s">
        <v>1</v>
      </c>
      <c r="E5" t="s">
        <v>2</v>
      </c>
      <c r="F5" t="s">
        <v>3</v>
      </c>
      <c r="J5" t="s">
        <v>9</v>
      </c>
    </row>
    <row r="6" spans="2:11" x14ac:dyDescent="0.3">
      <c r="D6" s="1">
        <v>7.163636363636364</v>
      </c>
      <c r="E6" s="1">
        <v>0</v>
      </c>
      <c r="F6" s="1">
        <v>1.3454545454545457</v>
      </c>
    </row>
    <row r="7" spans="2:11" x14ac:dyDescent="0.3">
      <c r="B7" t="s">
        <v>8</v>
      </c>
      <c r="C7" t="s">
        <v>4</v>
      </c>
      <c r="D7">
        <v>10</v>
      </c>
      <c r="E7">
        <v>20</v>
      </c>
      <c r="F7">
        <v>30</v>
      </c>
      <c r="H7" s="2">
        <f>SUMPRODUCT(D7:F7,$D$6:$F$6)</f>
        <v>112.00000000000001</v>
      </c>
      <c r="I7" t="s">
        <v>14</v>
      </c>
      <c r="J7">
        <v>112</v>
      </c>
      <c r="K7" t="s">
        <v>10</v>
      </c>
    </row>
    <row r="8" spans="2:11" x14ac:dyDescent="0.3">
      <c r="C8" t="s">
        <v>5</v>
      </c>
      <c r="D8">
        <v>9</v>
      </c>
      <c r="E8">
        <v>3</v>
      </c>
      <c r="F8">
        <v>5</v>
      </c>
      <c r="H8" s="2">
        <f t="shared" ref="H8:H10" si="0">SUMPRODUCT(D8:F8,$D$6:$F$6)</f>
        <v>71.2</v>
      </c>
      <c r="I8" t="s">
        <v>14</v>
      </c>
      <c r="J8">
        <v>80</v>
      </c>
      <c r="K8" t="s">
        <v>10</v>
      </c>
    </row>
    <row r="9" spans="2:11" x14ac:dyDescent="0.3">
      <c r="C9" t="s">
        <v>6</v>
      </c>
      <c r="D9">
        <v>4</v>
      </c>
      <c r="E9">
        <v>3</v>
      </c>
      <c r="F9">
        <v>1</v>
      </c>
      <c r="H9" s="2">
        <f t="shared" si="0"/>
        <v>30</v>
      </c>
      <c r="I9" t="s">
        <v>14</v>
      </c>
      <c r="J9">
        <v>30</v>
      </c>
      <c r="K9" t="s">
        <v>11</v>
      </c>
    </row>
    <row r="10" spans="2:11" x14ac:dyDescent="0.3">
      <c r="C10" t="s">
        <v>7</v>
      </c>
      <c r="D10">
        <v>34</v>
      </c>
      <c r="E10">
        <v>35</v>
      </c>
      <c r="F10">
        <v>17</v>
      </c>
      <c r="H10" s="2">
        <f t="shared" si="0"/>
        <v>266.43636363636364</v>
      </c>
      <c r="I10" t="s">
        <v>14</v>
      </c>
      <c r="J10">
        <v>300</v>
      </c>
      <c r="K10" t="s">
        <v>12</v>
      </c>
    </row>
    <row r="12" spans="2:11" x14ac:dyDescent="0.3">
      <c r="C12" t="s">
        <v>13</v>
      </c>
      <c r="D12">
        <v>25</v>
      </c>
      <c r="E12">
        <v>27</v>
      </c>
      <c r="F12">
        <v>33</v>
      </c>
      <c r="H12">
        <f>SUMPRODUCT(D12:F12,$D$6:$F$6)</f>
        <v>223.4909090909091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EC88-E7A5-4C27-9292-9B8FD90F1A1E}">
  <dimension ref="B2:R15"/>
  <sheetViews>
    <sheetView workbookViewId="0">
      <selection activeCell="T3" sqref="T3"/>
    </sheetView>
  </sheetViews>
  <sheetFormatPr defaultRowHeight="14.4" x14ac:dyDescent="0.3"/>
  <cols>
    <col min="2" max="15" width="4.6640625" bestFit="1" customWidth="1"/>
    <col min="16" max="16" width="1.77734375" customWidth="1"/>
    <col min="17" max="17" width="12" bestFit="1" customWidth="1"/>
    <col min="18" max="18" width="2" bestFit="1" customWidth="1"/>
  </cols>
  <sheetData>
    <row r="2" spans="2:18" x14ac:dyDescent="0.3"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2:18" x14ac:dyDescent="0.3"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1</v>
      </c>
      <c r="N3" s="5">
        <v>0</v>
      </c>
      <c r="O3" s="5">
        <v>0</v>
      </c>
    </row>
    <row r="4" spans="2:18" x14ac:dyDescent="0.3">
      <c r="B4" t="s">
        <v>28</v>
      </c>
      <c r="C4" s="6"/>
      <c r="D4" s="6"/>
      <c r="E4" s="6"/>
      <c r="F4" s="6"/>
      <c r="G4" s="6"/>
      <c r="H4" s="6"/>
      <c r="I4" s="6">
        <v>1</v>
      </c>
      <c r="J4" s="6"/>
      <c r="K4" s="6">
        <v>1</v>
      </c>
      <c r="L4" s="6">
        <v>1</v>
      </c>
      <c r="M4" s="6"/>
      <c r="N4" s="6">
        <v>1</v>
      </c>
      <c r="O4" s="6">
        <v>1</v>
      </c>
      <c r="Q4" s="3">
        <f>SUMPRODUCT(C4:O4,$C$3:$O$3)</f>
        <v>1</v>
      </c>
      <c r="R4">
        <v>1</v>
      </c>
    </row>
    <row r="5" spans="2:18" x14ac:dyDescent="0.3">
      <c r="B5" t="s">
        <v>29</v>
      </c>
      <c r="C5" s="6"/>
      <c r="D5" s="6">
        <v>1</v>
      </c>
      <c r="E5" s="6"/>
      <c r="F5" s="6"/>
      <c r="G5" s="6"/>
      <c r="H5" s="6"/>
      <c r="I5" s="6"/>
      <c r="J5" s="6">
        <v>1</v>
      </c>
      <c r="K5" s="6">
        <v>1</v>
      </c>
      <c r="L5" s="6"/>
      <c r="M5" s="6"/>
      <c r="N5" s="6"/>
      <c r="O5" s="6">
        <v>1</v>
      </c>
      <c r="Q5" s="3">
        <f t="shared" ref="Q5:Q13" si="0">SUMPRODUCT(C5:O5,$C$3:$O$3)</f>
        <v>0</v>
      </c>
      <c r="R5">
        <v>1</v>
      </c>
    </row>
    <row r="6" spans="2:18" x14ac:dyDescent="0.3">
      <c r="B6" t="s">
        <v>30</v>
      </c>
      <c r="C6" s="6"/>
      <c r="D6" s="6"/>
      <c r="E6" s="6">
        <v>1</v>
      </c>
      <c r="F6" s="6"/>
      <c r="G6" s="6"/>
      <c r="H6" s="6"/>
      <c r="I6" s="6"/>
      <c r="J6" s="6"/>
      <c r="K6" s="6">
        <v>1</v>
      </c>
      <c r="L6" s="6">
        <v>1</v>
      </c>
      <c r="M6" s="6"/>
      <c r="N6" s="6"/>
      <c r="O6" s="6"/>
      <c r="Q6" s="3">
        <f t="shared" si="0"/>
        <v>1</v>
      </c>
      <c r="R6">
        <v>1</v>
      </c>
    </row>
    <row r="7" spans="2:18" x14ac:dyDescent="0.3">
      <c r="B7" t="s">
        <v>31</v>
      </c>
      <c r="C7" s="6"/>
      <c r="D7" s="6"/>
      <c r="E7" s="6"/>
      <c r="F7" s="6">
        <v>1</v>
      </c>
      <c r="G7" s="6">
        <v>1</v>
      </c>
      <c r="H7" s="6"/>
      <c r="I7" s="6"/>
      <c r="J7" s="6">
        <v>1</v>
      </c>
      <c r="K7" s="6">
        <v>1</v>
      </c>
      <c r="L7" s="6"/>
      <c r="M7" s="6"/>
      <c r="N7" s="6"/>
      <c r="O7" s="6"/>
      <c r="Q7" s="3">
        <f t="shared" si="0"/>
        <v>1</v>
      </c>
      <c r="R7">
        <v>1</v>
      </c>
    </row>
    <row r="8" spans="2:18" x14ac:dyDescent="0.3">
      <c r="B8" t="s">
        <v>32</v>
      </c>
      <c r="C8" s="6"/>
      <c r="D8" s="6"/>
      <c r="E8" s="6">
        <v>1</v>
      </c>
      <c r="F8" s="6"/>
      <c r="G8" s="6"/>
      <c r="H8" s="6">
        <v>1</v>
      </c>
      <c r="I8" s="6"/>
      <c r="J8" s="6">
        <v>1</v>
      </c>
      <c r="K8" s="6"/>
      <c r="L8" s="6"/>
      <c r="M8" s="6">
        <v>1</v>
      </c>
      <c r="N8" s="6"/>
      <c r="O8" s="6"/>
      <c r="Q8" s="3">
        <f t="shared" si="0"/>
        <v>1</v>
      </c>
      <c r="R8">
        <v>1</v>
      </c>
    </row>
    <row r="9" spans="2:18" x14ac:dyDescent="0.3">
      <c r="B9" t="s">
        <v>33</v>
      </c>
      <c r="C9" s="6"/>
      <c r="D9" s="6"/>
      <c r="E9" s="6">
        <v>1</v>
      </c>
      <c r="F9" s="6"/>
      <c r="G9" s="6"/>
      <c r="H9" s="6">
        <v>1</v>
      </c>
      <c r="I9" s="6">
        <v>1</v>
      </c>
      <c r="J9" s="6"/>
      <c r="K9" s="6"/>
      <c r="L9" s="6">
        <v>1</v>
      </c>
      <c r="M9" s="6"/>
      <c r="N9" s="6"/>
      <c r="O9" s="6"/>
      <c r="Q9" s="3">
        <f t="shared" si="0"/>
        <v>1</v>
      </c>
      <c r="R9">
        <v>1</v>
      </c>
    </row>
    <row r="10" spans="2:18" x14ac:dyDescent="0.3">
      <c r="B10" t="s">
        <v>34</v>
      </c>
      <c r="C10" s="6"/>
      <c r="D10" s="6">
        <v>1</v>
      </c>
      <c r="E10" s="6"/>
      <c r="F10" s="6">
        <v>1</v>
      </c>
      <c r="G10" s="6">
        <v>1</v>
      </c>
      <c r="H10" s="6"/>
      <c r="I10" s="6"/>
      <c r="J10" s="6"/>
      <c r="K10" s="6"/>
      <c r="L10" s="6"/>
      <c r="M10" s="6"/>
      <c r="N10" s="6">
        <v>1</v>
      </c>
      <c r="O10" s="6"/>
      <c r="Q10" s="3">
        <f t="shared" si="0"/>
        <v>1</v>
      </c>
      <c r="R10">
        <v>1</v>
      </c>
    </row>
    <row r="11" spans="2:18" x14ac:dyDescent="0.3">
      <c r="B11" t="s">
        <v>35</v>
      </c>
      <c r="C11" s="6"/>
      <c r="D11" s="6"/>
      <c r="E11" s="6"/>
      <c r="F11" s="6">
        <v>1</v>
      </c>
      <c r="G11" s="6">
        <v>1</v>
      </c>
      <c r="H11" s="6">
        <v>1</v>
      </c>
      <c r="I11" s="6"/>
      <c r="J11" s="6"/>
      <c r="K11" s="6"/>
      <c r="L11" s="6"/>
      <c r="M11" s="6"/>
      <c r="N11" s="6"/>
      <c r="O11" s="6">
        <v>1</v>
      </c>
      <c r="Q11" s="3">
        <f t="shared" si="0"/>
        <v>1</v>
      </c>
      <c r="R11">
        <v>1</v>
      </c>
    </row>
    <row r="12" spans="2:18" x14ac:dyDescent="0.3">
      <c r="B12" t="s">
        <v>36</v>
      </c>
      <c r="C12" s="6">
        <v>1</v>
      </c>
      <c r="D12" s="6">
        <v>1</v>
      </c>
      <c r="E12" s="6"/>
      <c r="F12" s="6">
        <v>1</v>
      </c>
      <c r="G12" s="6"/>
      <c r="H12" s="6"/>
      <c r="I12" s="6"/>
      <c r="J12" s="6"/>
      <c r="K12" s="6"/>
      <c r="L12" s="6"/>
      <c r="M12" s="6">
        <v>1</v>
      </c>
      <c r="N12" s="6"/>
      <c r="O12" s="6"/>
      <c r="Q12" s="3">
        <f t="shared" si="0"/>
        <v>1</v>
      </c>
      <c r="R12">
        <v>1</v>
      </c>
    </row>
    <row r="13" spans="2:18" x14ac:dyDescent="0.3">
      <c r="B13" t="s">
        <v>37</v>
      </c>
      <c r="C13" s="6">
        <v>1</v>
      </c>
      <c r="D13" s="6"/>
      <c r="E13" s="6"/>
      <c r="F13" s="6"/>
      <c r="G13" s="6">
        <v>1</v>
      </c>
      <c r="H13" s="6"/>
      <c r="I13" s="6">
        <v>1</v>
      </c>
      <c r="J13" s="6"/>
      <c r="K13" s="6"/>
      <c r="L13" s="6"/>
      <c r="M13" s="6"/>
      <c r="N13" s="6">
        <v>1</v>
      </c>
      <c r="O13" s="6"/>
      <c r="Q13" s="3">
        <f t="shared" si="0"/>
        <v>1</v>
      </c>
      <c r="R13">
        <v>1</v>
      </c>
    </row>
    <row r="14" spans="2:18" x14ac:dyDescent="0.3">
      <c r="B14" t="s">
        <v>38</v>
      </c>
      <c r="C14" s="6">
        <v>5</v>
      </c>
      <c r="D14" s="6">
        <v>6</v>
      </c>
      <c r="E14" s="6">
        <v>8</v>
      </c>
      <c r="F14" s="6">
        <v>8</v>
      </c>
      <c r="G14" s="6">
        <v>9</v>
      </c>
      <c r="H14" s="6">
        <v>7</v>
      </c>
      <c r="I14" s="6">
        <v>7</v>
      </c>
      <c r="J14" s="6">
        <v>6</v>
      </c>
      <c r="K14" s="6">
        <v>7</v>
      </c>
      <c r="L14" s="6">
        <v>8</v>
      </c>
      <c r="M14" s="6">
        <v>6</v>
      </c>
      <c r="N14" s="6">
        <v>5</v>
      </c>
      <c r="O14" s="6">
        <v>6</v>
      </c>
      <c r="Q14" t="s">
        <v>39</v>
      </c>
    </row>
    <row r="15" spans="2:18" x14ac:dyDescent="0.3">
      <c r="Q15" s="4">
        <f>SUMPRODUCT(C14:O14,$C$3:$O$3)</f>
        <v>23</v>
      </c>
    </row>
  </sheetData>
  <phoneticPr fontId="1" type="noConversion"/>
  <conditionalFormatting sqref="C3:O3">
    <cfRule type="cellIs" dxfId="1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AEEE-B83F-4217-8782-0CC92239378D}">
  <dimension ref="A3:AC17"/>
  <sheetViews>
    <sheetView zoomScale="115" zoomScaleNormal="115" workbookViewId="0">
      <selection activeCell="AC9" sqref="AC9"/>
    </sheetView>
  </sheetViews>
  <sheetFormatPr defaultRowHeight="14.4" x14ac:dyDescent="0.3"/>
  <cols>
    <col min="1" max="1" width="4" bestFit="1" customWidth="1"/>
    <col min="2" max="2" width="5.109375" customWidth="1"/>
    <col min="3" max="11" width="3" bestFit="1" customWidth="1"/>
    <col min="12" max="12" width="4" bestFit="1" customWidth="1"/>
    <col min="15" max="15" width="4" bestFit="1" customWidth="1"/>
    <col min="16" max="24" width="3" bestFit="1" customWidth="1"/>
    <col min="25" max="25" width="4" bestFit="1" customWidth="1"/>
    <col min="26" max="26" width="2" bestFit="1" customWidth="1"/>
    <col min="27" max="27" width="2.88671875" customWidth="1"/>
    <col min="28" max="28" width="2" bestFit="1" customWidth="1"/>
  </cols>
  <sheetData>
    <row r="3" spans="1:29" x14ac:dyDescent="0.3"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</row>
    <row r="4" spans="1:29" x14ac:dyDescent="0.3">
      <c r="C4" s="1"/>
      <c r="D4" s="1"/>
      <c r="E4" s="1"/>
      <c r="F4" s="1"/>
      <c r="G4" s="1"/>
      <c r="H4" s="1"/>
      <c r="I4" s="1"/>
      <c r="J4" s="1"/>
      <c r="K4" s="1"/>
      <c r="L4" s="1"/>
      <c r="P4" t="s">
        <v>40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</row>
    <row r="5" spans="1:29" x14ac:dyDescent="0.3">
      <c r="A5" t="s">
        <v>50</v>
      </c>
      <c r="B5" s="1"/>
      <c r="C5">
        <v>1</v>
      </c>
      <c r="D5">
        <v>1</v>
      </c>
      <c r="E5">
        <v>1</v>
      </c>
      <c r="F5">
        <v>3</v>
      </c>
      <c r="G5">
        <v>5</v>
      </c>
      <c r="H5">
        <v>3</v>
      </c>
      <c r="I5">
        <v>5</v>
      </c>
      <c r="J5">
        <v>1</v>
      </c>
      <c r="K5">
        <v>1</v>
      </c>
      <c r="L5">
        <v>2</v>
      </c>
      <c r="O5" t="s">
        <v>50</v>
      </c>
      <c r="P5" s="9">
        <v>0</v>
      </c>
      <c r="Q5" s="9">
        <v>0</v>
      </c>
      <c r="R5" s="9">
        <v>1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8">
        <f>SUM(P5:Y5)</f>
        <v>1</v>
      </c>
      <c r="AA5" s="6" t="s">
        <v>60</v>
      </c>
      <c r="AB5" s="6">
        <v>1</v>
      </c>
    </row>
    <row r="6" spans="1:29" x14ac:dyDescent="0.3">
      <c r="A6" t="s">
        <v>51</v>
      </c>
      <c r="B6" s="1"/>
      <c r="C6">
        <v>3</v>
      </c>
      <c r="D6">
        <v>2</v>
      </c>
      <c r="E6">
        <v>2</v>
      </c>
      <c r="F6">
        <v>7</v>
      </c>
      <c r="G6">
        <v>9</v>
      </c>
      <c r="H6">
        <v>9</v>
      </c>
      <c r="I6">
        <v>6</v>
      </c>
      <c r="J6">
        <v>2</v>
      </c>
      <c r="K6">
        <v>3</v>
      </c>
      <c r="L6">
        <v>1</v>
      </c>
      <c r="O6" t="s">
        <v>51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1</v>
      </c>
      <c r="Z6" s="8">
        <f t="shared" ref="Z6:Z14" si="0">SUM(P6:Y6)</f>
        <v>1</v>
      </c>
      <c r="AA6" s="6" t="s">
        <v>60</v>
      </c>
      <c r="AB6" s="6">
        <v>1</v>
      </c>
    </row>
    <row r="7" spans="1:29" x14ac:dyDescent="0.3">
      <c r="A7" t="s">
        <v>52</v>
      </c>
      <c r="B7" s="1"/>
      <c r="C7">
        <v>2</v>
      </c>
      <c r="D7">
        <v>10</v>
      </c>
      <c r="E7">
        <v>3</v>
      </c>
      <c r="F7">
        <v>1</v>
      </c>
      <c r="G7">
        <v>3</v>
      </c>
      <c r="H7">
        <v>2</v>
      </c>
      <c r="I7">
        <v>7</v>
      </c>
      <c r="J7">
        <v>4</v>
      </c>
      <c r="K7">
        <v>2</v>
      </c>
      <c r="L7">
        <v>3</v>
      </c>
      <c r="O7" t="s">
        <v>52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8">
        <f t="shared" si="0"/>
        <v>1</v>
      </c>
      <c r="AA7" s="6" t="s">
        <v>60</v>
      </c>
      <c r="AB7" s="6">
        <v>1</v>
      </c>
    </row>
    <row r="8" spans="1:29" x14ac:dyDescent="0.3">
      <c r="A8" t="s">
        <v>53</v>
      </c>
      <c r="B8" s="1"/>
      <c r="C8">
        <v>8</v>
      </c>
      <c r="D8">
        <v>4</v>
      </c>
      <c r="E8">
        <v>4</v>
      </c>
      <c r="F8">
        <v>4</v>
      </c>
      <c r="G8">
        <v>6</v>
      </c>
      <c r="H8">
        <v>7</v>
      </c>
      <c r="I8">
        <v>1</v>
      </c>
      <c r="J8">
        <v>5</v>
      </c>
      <c r="K8">
        <v>4</v>
      </c>
      <c r="L8">
        <v>5</v>
      </c>
      <c r="O8" t="s">
        <v>53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1</v>
      </c>
      <c r="W8" s="9">
        <v>0</v>
      </c>
      <c r="X8" s="9">
        <v>0</v>
      </c>
      <c r="Y8" s="9">
        <v>0</v>
      </c>
      <c r="Z8" s="8">
        <f t="shared" si="0"/>
        <v>1</v>
      </c>
      <c r="AA8" s="6" t="s">
        <v>60</v>
      </c>
      <c r="AB8" s="6">
        <v>1</v>
      </c>
    </row>
    <row r="9" spans="1:29" x14ac:dyDescent="0.3">
      <c r="A9" t="s">
        <v>54</v>
      </c>
      <c r="B9" s="1"/>
      <c r="C9">
        <v>9</v>
      </c>
      <c r="D9">
        <v>5</v>
      </c>
      <c r="E9">
        <v>5</v>
      </c>
      <c r="F9">
        <v>2</v>
      </c>
      <c r="G9">
        <v>4</v>
      </c>
      <c r="H9">
        <v>6</v>
      </c>
      <c r="I9">
        <v>2</v>
      </c>
      <c r="J9">
        <v>9</v>
      </c>
      <c r="K9">
        <v>5</v>
      </c>
      <c r="L9">
        <v>4</v>
      </c>
      <c r="O9" t="s">
        <v>54</v>
      </c>
      <c r="P9" s="9">
        <v>0</v>
      </c>
      <c r="Q9" s="9">
        <v>0</v>
      </c>
      <c r="R9" s="9">
        <v>0</v>
      </c>
      <c r="S9" s="9">
        <v>1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8">
        <f t="shared" si="0"/>
        <v>1</v>
      </c>
      <c r="AA9" s="6" t="s">
        <v>60</v>
      </c>
      <c r="AB9" s="6">
        <v>1</v>
      </c>
    </row>
    <row r="10" spans="1:29" x14ac:dyDescent="0.3">
      <c r="A10" t="s">
        <v>55</v>
      </c>
      <c r="B10" s="1"/>
      <c r="C10">
        <v>4</v>
      </c>
      <c r="D10">
        <v>3</v>
      </c>
      <c r="E10">
        <v>6</v>
      </c>
      <c r="F10">
        <v>5</v>
      </c>
      <c r="G10">
        <v>7</v>
      </c>
      <c r="H10">
        <v>5</v>
      </c>
      <c r="I10">
        <v>3</v>
      </c>
      <c r="J10">
        <v>10</v>
      </c>
      <c r="K10">
        <v>6</v>
      </c>
      <c r="L10">
        <v>8</v>
      </c>
      <c r="O10" t="s">
        <v>55</v>
      </c>
      <c r="P10" s="9">
        <v>0</v>
      </c>
      <c r="Q10" s="9">
        <v>1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8">
        <f t="shared" si="0"/>
        <v>1</v>
      </c>
      <c r="AA10" s="6" t="s">
        <v>60</v>
      </c>
      <c r="AB10" s="6">
        <v>1</v>
      </c>
    </row>
    <row r="11" spans="1:29" x14ac:dyDescent="0.3">
      <c r="A11" t="s">
        <v>56</v>
      </c>
      <c r="B11" s="1"/>
      <c r="C11">
        <v>5</v>
      </c>
      <c r="D11">
        <v>6</v>
      </c>
      <c r="E11">
        <v>7</v>
      </c>
      <c r="F11">
        <v>8</v>
      </c>
      <c r="G11">
        <v>10</v>
      </c>
      <c r="H11">
        <v>4</v>
      </c>
      <c r="I11">
        <v>8</v>
      </c>
      <c r="J11">
        <v>6</v>
      </c>
      <c r="K11">
        <v>10</v>
      </c>
      <c r="L11">
        <v>7</v>
      </c>
      <c r="O11" t="s">
        <v>56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1</v>
      </c>
      <c r="X11" s="9">
        <v>0</v>
      </c>
      <c r="Y11" s="9">
        <v>0</v>
      </c>
      <c r="Z11" s="8">
        <f t="shared" si="0"/>
        <v>1</v>
      </c>
      <c r="AA11" s="6" t="s">
        <v>60</v>
      </c>
      <c r="AB11" s="6">
        <v>1</v>
      </c>
    </row>
    <row r="12" spans="1:29" x14ac:dyDescent="0.3">
      <c r="A12" t="s">
        <v>57</v>
      </c>
      <c r="B12" s="1"/>
      <c r="C12">
        <v>7</v>
      </c>
      <c r="D12">
        <v>7</v>
      </c>
      <c r="E12">
        <v>8</v>
      </c>
      <c r="F12">
        <v>9</v>
      </c>
      <c r="G12">
        <v>1</v>
      </c>
      <c r="H12">
        <v>10</v>
      </c>
      <c r="I12">
        <v>9</v>
      </c>
      <c r="J12">
        <v>8</v>
      </c>
      <c r="K12">
        <v>9</v>
      </c>
      <c r="L12">
        <v>6</v>
      </c>
      <c r="O12" t="s">
        <v>57</v>
      </c>
      <c r="P12" s="9">
        <v>0</v>
      </c>
      <c r="Q12" s="9">
        <v>0</v>
      </c>
      <c r="R12" s="9">
        <v>0</v>
      </c>
      <c r="S12" s="9">
        <v>0</v>
      </c>
      <c r="T12" s="9">
        <v>1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8">
        <f t="shared" si="0"/>
        <v>1</v>
      </c>
      <c r="AA12" s="6" t="s">
        <v>60</v>
      </c>
      <c r="AB12" s="6">
        <v>1</v>
      </c>
    </row>
    <row r="13" spans="1:29" x14ac:dyDescent="0.3">
      <c r="A13" t="s">
        <v>58</v>
      </c>
      <c r="B13" s="1"/>
      <c r="C13">
        <v>6</v>
      </c>
      <c r="D13">
        <v>8</v>
      </c>
      <c r="E13">
        <v>9</v>
      </c>
      <c r="F13">
        <v>10</v>
      </c>
      <c r="G13">
        <v>2</v>
      </c>
      <c r="H13">
        <v>8</v>
      </c>
      <c r="I13">
        <v>10</v>
      </c>
      <c r="J13">
        <v>7</v>
      </c>
      <c r="K13">
        <v>7</v>
      </c>
      <c r="L13">
        <v>10</v>
      </c>
      <c r="O13" t="s">
        <v>58</v>
      </c>
      <c r="P13" s="9">
        <v>1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8">
        <f t="shared" si="0"/>
        <v>1</v>
      </c>
      <c r="AA13" s="6" t="s">
        <v>60</v>
      </c>
      <c r="AB13" s="6">
        <v>1</v>
      </c>
    </row>
    <row r="14" spans="1:29" x14ac:dyDescent="0.3">
      <c r="A14" t="s">
        <v>59</v>
      </c>
      <c r="B14" s="1"/>
      <c r="C14">
        <v>10</v>
      </c>
      <c r="D14">
        <v>9</v>
      </c>
      <c r="E14">
        <v>10</v>
      </c>
      <c r="F14">
        <v>6</v>
      </c>
      <c r="G14">
        <v>8</v>
      </c>
      <c r="H14">
        <v>1</v>
      </c>
      <c r="I14">
        <v>4</v>
      </c>
      <c r="J14">
        <v>3</v>
      </c>
      <c r="K14">
        <v>8</v>
      </c>
      <c r="L14">
        <v>9</v>
      </c>
      <c r="O14" t="s">
        <v>59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1</v>
      </c>
      <c r="V14" s="9">
        <v>0</v>
      </c>
      <c r="W14" s="9">
        <v>0</v>
      </c>
      <c r="X14" s="9">
        <v>0</v>
      </c>
      <c r="Y14" s="9">
        <v>0</v>
      </c>
      <c r="Z14" s="8">
        <f t="shared" si="0"/>
        <v>1</v>
      </c>
      <c r="AA14" s="6" t="s">
        <v>60</v>
      </c>
      <c r="AB14" s="6">
        <v>1</v>
      </c>
    </row>
    <row r="15" spans="1:29" x14ac:dyDescent="0.3">
      <c r="P15" s="7">
        <f>SUM(P5:P14)</f>
        <v>1</v>
      </c>
      <c r="Q15" s="7">
        <f t="shared" ref="Q15:Y15" si="1">SUM(Q5:Q14)</f>
        <v>1</v>
      </c>
      <c r="R15" s="7">
        <f t="shared" si="1"/>
        <v>1</v>
      </c>
      <c r="S15" s="7">
        <f t="shared" si="1"/>
        <v>1</v>
      </c>
      <c r="T15" s="7">
        <f t="shared" si="1"/>
        <v>1</v>
      </c>
      <c r="U15" s="7">
        <f t="shared" si="1"/>
        <v>1</v>
      </c>
      <c r="V15" s="7">
        <f t="shared" si="1"/>
        <v>1</v>
      </c>
      <c r="W15" s="7">
        <f t="shared" si="1"/>
        <v>1</v>
      </c>
      <c r="X15" s="7">
        <f t="shared" si="1"/>
        <v>1</v>
      </c>
      <c r="Y15" s="7">
        <f t="shared" si="1"/>
        <v>1</v>
      </c>
    </row>
    <row r="16" spans="1:29" x14ac:dyDescent="0.3">
      <c r="P16" s="6" t="s">
        <v>60</v>
      </c>
      <c r="Q16" s="6" t="s">
        <v>60</v>
      </c>
      <c r="R16" s="6" t="s">
        <v>60</v>
      </c>
      <c r="S16" s="6" t="s">
        <v>60</v>
      </c>
      <c r="T16" s="6" t="s">
        <v>60</v>
      </c>
      <c r="U16" s="6" t="s">
        <v>60</v>
      </c>
      <c r="V16" s="6" t="s">
        <v>60</v>
      </c>
      <c r="W16" s="6" t="s">
        <v>60</v>
      </c>
      <c r="X16" s="6" t="s">
        <v>60</v>
      </c>
      <c r="Y16" s="6" t="s">
        <v>60</v>
      </c>
      <c r="AC16" s="4">
        <f>SUMPRODUCT(C5:L14,P5:Y14)</f>
        <v>24</v>
      </c>
    </row>
    <row r="17" spans="16:25" x14ac:dyDescent="0.3"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</row>
  </sheetData>
  <conditionalFormatting sqref="P5:Y14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Folha5Ex2.1</vt:lpstr>
      <vt:lpstr>Folha11Ex2.5</vt:lpstr>
      <vt:lpstr>Folha33EX4.2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 Martins</dc:creator>
  <cp:lastModifiedBy>José  Martins</cp:lastModifiedBy>
  <dcterms:created xsi:type="dcterms:W3CDTF">2024-02-22T13:13:28Z</dcterms:created>
  <dcterms:modified xsi:type="dcterms:W3CDTF">2024-03-14T14:52:29Z</dcterms:modified>
</cp:coreProperties>
</file>