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esktop\Universidade\2 Ano\Fundamentos Investigação Operacional\"/>
    </mc:Choice>
  </mc:AlternateContent>
  <xr:revisionPtr revIDLastSave="0" documentId="13_ncr:1_{8C901B3B-0275-4D9E-99A6-53889052A256}" xr6:coauthVersionLast="47" xr6:coauthVersionMax="47" xr10:uidLastSave="{00000000-0000-0000-0000-000000000000}"/>
  <bookViews>
    <workbookView xWindow="-108" yWindow="-108" windowWidth="23256" windowHeight="12456" xr2:uid="{D868D12B-0DE2-4634-962C-AC246C80BCD7}"/>
  </bookViews>
  <sheets>
    <sheet name="Relatório de Sensibilidade 1" sheetId="2" r:id="rId1"/>
    <sheet name="Folha1" sheetId="1" r:id="rId2"/>
  </sheets>
  <definedNames>
    <definedName name="solver_adj" localSheetId="1" hidden="1">Folha1!$C$3:$H$3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Folha1!$J$4:$J$7</definedName>
    <definedName name="solver_lhs2" localSheetId="1" hidden="1">Folha1!$J$4:$J$7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Folha1!$J$9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el2" localSheetId="1" hidden="1">1</definedName>
    <definedName name="solver_rhs1" localSheetId="1" hidden="1">Folha1!$L$4:$L$7</definedName>
    <definedName name="solver_rhs2" localSheetId="1" hidden="1">Folha1!$L$4:$L$7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6" i="1"/>
  <c r="J5" i="1"/>
  <c r="J7" i="1"/>
  <c r="J4" i="1"/>
</calcChain>
</file>

<file path=xl/sharedStrings.xml><?xml version="1.0" encoding="utf-8"?>
<sst xmlns="http://schemas.openxmlformats.org/spreadsheetml/2006/main" count="65" uniqueCount="43">
  <si>
    <t>x1</t>
  </si>
  <si>
    <t>x2</t>
  </si>
  <si>
    <t>x3</t>
  </si>
  <si>
    <t>x4</t>
  </si>
  <si>
    <t>Lucro</t>
  </si>
  <si>
    <t>&lt;=</t>
  </si>
  <si>
    <t>x5</t>
  </si>
  <si>
    <t>x6</t>
  </si>
  <si>
    <t>R1</t>
  </si>
  <si>
    <t>R2</t>
  </si>
  <si>
    <t>R3</t>
  </si>
  <si>
    <t>R4</t>
  </si>
  <si>
    <t>Disponibilidade</t>
  </si>
  <si>
    <t>Microsoft Excel 16.0 Relatório de Sensibilidade</t>
  </si>
  <si>
    <t>Folha de Cálculo: [Livro1]Folha1</t>
  </si>
  <si>
    <t>Relatório Criado: 14/03/2024 14:29:58</t>
  </si>
  <si>
    <t>Células de Variável</t>
  </si>
  <si>
    <t>Célula</t>
  </si>
  <si>
    <t>Nome</t>
  </si>
  <si>
    <t>Final</t>
  </si>
  <si>
    <t>Valor</t>
  </si>
  <si>
    <t>Reduzido</t>
  </si>
  <si>
    <t>Custo</t>
  </si>
  <si>
    <t>Objetivo</t>
  </si>
  <si>
    <t>Coeficiente</t>
  </si>
  <si>
    <t>Permissível</t>
  </si>
  <si>
    <t>Aumentar</t>
  </si>
  <si>
    <t>Diminuir</t>
  </si>
  <si>
    <t>Restrições</t>
  </si>
  <si>
    <t>Sombra</t>
  </si>
  <si>
    <t>Preço</t>
  </si>
  <si>
    <t>Restrição</t>
  </si>
  <si>
    <t>Lado Direito</t>
  </si>
  <si>
    <t>$C$3</t>
  </si>
  <si>
    <t>$D$3</t>
  </si>
  <si>
    <t>$E$3</t>
  </si>
  <si>
    <t>$F$3</t>
  </si>
  <si>
    <t>$G$3</t>
  </si>
  <si>
    <t>$H$3</t>
  </si>
  <si>
    <t>$J$4</t>
  </si>
  <si>
    <t>$J$5</t>
  </si>
  <si>
    <t>$J$6</t>
  </si>
  <si>
    <t>$J$7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</si>
</sst>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1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2" fontId="0" fillId="0" borderId="3" xfId="0" applyNumberFormat="1" applyFill="1" applyBorder="1" applyAlignment="1"/>
    <xf numFmtId="2" fontId="0" fillId="0" borderId="4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F24F-1C4F-4DDE-A15D-EEB8EB51E5B0}">
  <dimension ref="A1:H22"/>
  <sheetViews>
    <sheetView showGridLines="0" tabSelected="1" workbookViewId="0">
      <selection activeCell="K11" sqref="K11"/>
    </sheetView>
  </sheetViews>
  <sheetFormatPr defaultRowHeight="14.4" x14ac:dyDescent="0.3"/>
  <cols>
    <col min="1" max="1" width="2.33203125" customWidth="1"/>
    <col min="2" max="2" width="6.33203125" bestFit="1" customWidth="1"/>
    <col min="3" max="3" width="6" bestFit="1" customWidth="1"/>
    <col min="4" max="4" width="9" bestFit="1" customWidth="1"/>
    <col min="5" max="5" width="10.6640625" bestFit="1" customWidth="1"/>
    <col min="6" max="6" width="11" bestFit="1" customWidth="1"/>
    <col min="7" max="7" width="49.5546875" customWidth="1"/>
    <col min="8" max="8" width="42.109375" customWidth="1"/>
  </cols>
  <sheetData>
    <row r="1" spans="1:8" x14ac:dyDescent="0.3">
      <c r="A1" s="4" t="s">
        <v>13</v>
      </c>
    </row>
    <row r="2" spans="1:8" x14ac:dyDescent="0.3">
      <c r="A2" s="4" t="s">
        <v>14</v>
      </c>
    </row>
    <row r="3" spans="1:8" x14ac:dyDescent="0.3">
      <c r="A3" s="4" t="s">
        <v>15</v>
      </c>
    </row>
    <row r="6" spans="1:8" ht="15" thickBot="1" x14ac:dyDescent="0.35">
      <c r="A6" t="s">
        <v>16</v>
      </c>
    </row>
    <row r="7" spans="1:8" x14ac:dyDescent="0.3">
      <c r="B7" s="7"/>
      <c r="C7" s="7"/>
      <c r="D7" s="7" t="s">
        <v>19</v>
      </c>
      <c r="E7" s="7" t="s">
        <v>21</v>
      </c>
      <c r="F7" s="7" t="s">
        <v>23</v>
      </c>
      <c r="G7" s="7" t="s">
        <v>25</v>
      </c>
      <c r="H7" s="7" t="s">
        <v>25</v>
      </c>
    </row>
    <row r="8" spans="1:8" ht="15" thickBot="1" x14ac:dyDescent="0.35">
      <c r="B8" s="8" t="s">
        <v>17</v>
      </c>
      <c r="C8" s="8" t="s">
        <v>18</v>
      </c>
      <c r="D8" s="8" t="s">
        <v>20</v>
      </c>
      <c r="E8" s="8" t="s">
        <v>22</v>
      </c>
      <c r="F8" s="8" t="s">
        <v>24</v>
      </c>
      <c r="G8" s="8" t="s">
        <v>26</v>
      </c>
      <c r="H8" s="8" t="s">
        <v>27</v>
      </c>
    </row>
    <row r="9" spans="1:8" x14ac:dyDescent="0.3">
      <c r="B9" s="5" t="s">
        <v>33</v>
      </c>
      <c r="C9" s="5" t="s">
        <v>0</v>
      </c>
      <c r="D9" s="9">
        <v>0</v>
      </c>
      <c r="E9" s="9">
        <v>-895.3125</v>
      </c>
      <c r="F9" s="9">
        <v>1500</v>
      </c>
      <c r="G9" s="9">
        <v>895.3125</v>
      </c>
      <c r="H9" s="9">
        <v>1E+30</v>
      </c>
    </row>
    <row r="10" spans="1:8" x14ac:dyDescent="0.3">
      <c r="B10" s="5" t="s">
        <v>34</v>
      </c>
      <c r="C10" s="5" t="s">
        <v>1</v>
      </c>
      <c r="D10" s="9">
        <v>0.46875</v>
      </c>
      <c r="E10" s="9">
        <v>0</v>
      </c>
      <c r="F10" s="9">
        <v>1800</v>
      </c>
      <c r="G10" s="9">
        <v>866.66666666666663</v>
      </c>
      <c r="H10" s="9">
        <v>483.54430379746833</v>
      </c>
    </row>
    <row r="11" spans="1:8" x14ac:dyDescent="0.3">
      <c r="B11" s="5" t="s">
        <v>35</v>
      </c>
      <c r="C11" s="5" t="s">
        <v>2</v>
      </c>
      <c r="D11" s="9">
        <v>5.625</v>
      </c>
      <c r="E11" s="9">
        <v>0</v>
      </c>
      <c r="F11" s="9">
        <v>1200</v>
      </c>
      <c r="G11" s="9">
        <v>1050</v>
      </c>
      <c r="H11" s="9">
        <v>259.09090909090907</v>
      </c>
    </row>
    <row r="12" spans="1:8" x14ac:dyDescent="0.3">
      <c r="B12" s="5" t="s">
        <v>36</v>
      </c>
      <c r="C12" s="5" t="s">
        <v>3</v>
      </c>
      <c r="D12" s="9">
        <v>0</v>
      </c>
      <c r="E12" s="9">
        <v>-356.25</v>
      </c>
      <c r="F12" s="9">
        <v>900</v>
      </c>
      <c r="G12" s="9">
        <v>356.25</v>
      </c>
      <c r="H12" s="9">
        <v>1E+30</v>
      </c>
    </row>
    <row r="13" spans="1:8" x14ac:dyDescent="0.3">
      <c r="B13" s="5" t="s">
        <v>37</v>
      </c>
      <c r="C13" s="5" t="s">
        <v>6</v>
      </c>
      <c r="D13" s="9">
        <v>0</v>
      </c>
      <c r="E13" s="9">
        <v>-1107.8125000000002</v>
      </c>
      <c r="F13" s="9">
        <v>800</v>
      </c>
      <c r="G13" s="9">
        <v>1107.8125000000002</v>
      </c>
      <c r="H13" s="9">
        <v>1E+30</v>
      </c>
    </row>
    <row r="14" spans="1:8" ht="15" thickBot="1" x14ac:dyDescent="0.35">
      <c r="B14" s="6" t="s">
        <v>38</v>
      </c>
      <c r="C14" s="6" t="s">
        <v>7</v>
      </c>
      <c r="D14" s="10">
        <v>0</v>
      </c>
      <c r="E14" s="10">
        <v>-601.25000000000023</v>
      </c>
      <c r="F14" s="10">
        <v>1000</v>
      </c>
      <c r="G14" s="10">
        <v>601.25000000000023</v>
      </c>
      <c r="H14" s="10">
        <v>1E+30</v>
      </c>
    </row>
    <row r="16" spans="1:8" ht="15" thickBot="1" x14ac:dyDescent="0.35">
      <c r="A16" t="s">
        <v>28</v>
      </c>
    </row>
    <row r="17" spans="2:8" x14ac:dyDescent="0.3">
      <c r="B17" s="7"/>
      <c r="C17" s="7"/>
      <c r="D17" s="7" t="s">
        <v>19</v>
      </c>
      <c r="E17" s="7" t="s">
        <v>29</v>
      </c>
      <c r="F17" s="7" t="s">
        <v>31</v>
      </c>
      <c r="G17" s="7" t="s">
        <v>25</v>
      </c>
      <c r="H17" s="7" t="s">
        <v>25</v>
      </c>
    </row>
    <row r="18" spans="2:8" ht="15" thickBot="1" x14ac:dyDescent="0.35">
      <c r="B18" s="8" t="s">
        <v>17</v>
      </c>
      <c r="C18" s="8" t="s">
        <v>18</v>
      </c>
      <c r="D18" s="8" t="s">
        <v>20</v>
      </c>
      <c r="E18" s="8" t="s">
        <v>30</v>
      </c>
      <c r="F18" s="8" t="s">
        <v>32</v>
      </c>
      <c r="G18" s="8" t="s">
        <v>26</v>
      </c>
      <c r="H18" s="8" t="s">
        <v>27</v>
      </c>
    </row>
    <row r="19" spans="2:8" x14ac:dyDescent="0.3">
      <c r="B19" s="5" t="s">
        <v>39</v>
      </c>
      <c r="C19" s="5" t="s">
        <v>8</v>
      </c>
      <c r="D19" s="5">
        <v>49.21875</v>
      </c>
      <c r="E19" s="5">
        <v>0</v>
      </c>
      <c r="F19" s="5">
        <v>100</v>
      </c>
      <c r="G19" s="9">
        <v>1E+30</v>
      </c>
      <c r="H19" s="5">
        <v>50.78125</v>
      </c>
    </row>
    <row r="20" spans="2:8" x14ac:dyDescent="0.3">
      <c r="B20" s="5" t="s">
        <v>40</v>
      </c>
      <c r="C20" s="5" t="s">
        <v>9</v>
      </c>
      <c r="D20" s="5">
        <v>60.46875</v>
      </c>
      <c r="E20" s="5">
        <v>0</v>
      </c>
      <c r="F20" s="5">
        <v>120</v>
      </c>
      <c r="G20" s="9">
        <v>1E+30</v>
      </c>
      <c r="H20" s="5">
        <v>59.53125</v>
      </c>
    </row>
    <row r="21" spans="2:8" x14ac:dyDescent="0.3">
      <c r="B21" s="5" t="s">
        <v>41</v>
      </c>
      <c r="C21" s="5" t="s">
        <v>10</v>
      </c>
      <c r="D21" s="5">
        <v>600</v>
      </c>
      <c r="E21" s="5">
        <v>6.09375</v>
      </c>
      <c r="F21" s="5">
        <v>600</v>
      </c>
      <c r="G21" s="9">
        <v>66.666666666666671</v>
      </c>
      <c r="H21" s="5">
        <v>360</v>
      </c>
    </row>
    <row r="22" spans="2:8" ht="15" thickBot="1" x14ac:dyDescent="0.35">
      <c r="B22" s="6" t="s">
        <v>42</v>
      </c>
      <c r="C22" s="6" t="s">
        <v>11</v>
      </c>
      <c r="D22" s="6">
        <v>60</v>
      </c>
      <c r="E22" s="6">
        <v>65.625</v>
      </c>
      <c r="F22" s="6">
        <v>60</v>
      </c>
      <c r="G22" s="10">
        <v>90</v>
      </c>
      <c r="H22" s="6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91D8-B8E3-4408-A339-DA45227577A8}">
  <dimension ref="B2:L9"/>
  <sheetViews>
    <sheetView workbookViewId="0">
      <selection activeCell="E4" sqref="E4"/>
    </sheetView>
  </sheetViews>
  <sheetFormatPr defaultRowHeight="14.4" x14ac:dyDescent="0.3"/>
  <cols>
    <col min="12" max="12" width="13.44140625" bestFit="1" customWidth="1"/>
  </cols>
  <sheetData>
    <row r="2" spans="2:12" x14ac:dyDescent="0.3">
      <c r="C2" t="s">
        <v>0</v>
      </c>
      <c r="D2" t="s">
        <v>1</v>
      </c>
      <c r="E2" t="s">
        <v>2</v>
      </c>
      <c r="F2" t="s">
        <v>3</v>
      </c>
      <c r="G2" t="s">
        <v>6</v>
      </c>
      <c r="H2" t="s">
        <v>7</v>
      </c>
    </row>
    <row r="3" spans="2:12" x14ac:dyDescent="0.3">
      <c r="C3" s="1">
        <v>0</v>
      </c>
      <c r="D3" s="1">
        <v>0.46875</v>
      </c>
      <c r="E3" s="1">
        <v>5.625</v>
      </c>
      <c r="F3" s="1">
        <v>0</v>
      </c>
      <c r="G3" s="1">
        <v>0</v>
      </c>
      <c r="H3" s="1">
        <v>0</v>
      </c>
      <c r="L3" t="s">
        <v>12</v>
      </c>
    </row>
    <row r="4" spans="2:12" x14ac:dyDescent="0.3">
      <c r="B4" t="s">
        <v>8</v>
      </c>
      <c r="C4">
        <v>10</v>
      </c>
      <c r="D4">
        <v>9</v>
      </c>
      <c r="E4">
        <v>8</v>
      </c>
      <c r="F4">
        <v>7</v>
      </c>
      <c r="G4">
        <v>6</v>
      </c>
      <c r="H4">
        <v>5</v>
      </c>
      <c r="J4" s="2">
        <f>SUMPRODUCT($C$3:$H$3,C4:H4)</f>
        <v>49.21875</v>
      </c>
      <c r="K4" t="s">
        <v>5</v>
      </c>
      <c r="L4">
        <v>100</v>
      </c>
    </row>
    <row r="5" spans="2:12" x14ac:dyDescent="0.3">
      <c r="B5" t="s">
        <v>9</v>
      </c>
      <c r="C5">
        <v>8</v>
      </c>
      <c r="D5">
        <v>9</v>
      </c>
      <c r="E5">
        <v>10</v>
      </c>
      <c r="F5">
        <v>11</v>
      </c>
      <c r="G5">
        <v>13</v>
      </c>
      <c r="H5">
        <v>20</v>
      </c>
      <c r="J5" s="2">
        <f t="shared" ref="J5:J9" si="0">SUMPRODUCT($C$3:$H$3,C5:H5)</f>
        <v>60.46875</v>
      </c>
      <c r="K5" t="s">
        <v>5</v>
      </c>
      <c r="L5">
        <v>120</v>
      </c>
    </row>
    <row r="6" spans="2:12" x14ac:dyDescent="0.3">
      <c r="B6" t="s">
        <v>10</v>
      </c>
      <c r="C6">
        <v>70</v>
      </c>
      <c r="D6">
        <v>80</v>
      </c>
      <c r="E6">
        <v>100</v>
      </c>
      <c r="F6">
        <v>120</v>
      </c>
      <c r="G6">
        <v>130</v>
      </c>
      <c r="H6">
        <v>112</v>
      </c>
      <c r="J6" s="2">
        <f>SUMPRODUCT($C$3:$H$3,C6:H6)</f>
        <v>600</v>
      </c>
      <c r="K6" t="s">
        <v>5</v>
      </c>
      <c r="L6">
        <v>600</v>
      </c>
    </row>
    <row r="7" spans="2:12" x14ac:dyDescent="0.3">
      <c r="B7" t="s">
        <v>11</v>
      </c>
      <c r="C7">
        <v>30</v>
      </c>
      <c r="D7">
        <v>20</v>
      </c>
      <c r="E7">
        <v>9</v>
      </c>
      <c r="F7">
        <v>8</v>
      </c>
      <c r="G7">
        <v>17</v>
      </c>
      <c r="H7">
        <v>14</v>
      </c>
      <c r="J7" s="2">
        <f t="shared" si="0"/>
        <v>60</v>
      </c>
      <c r="K7" t="s">
        <v>5</v>
      </c>
      <c r="L7">
        <v>60</v>
      </c>
    </row>
    <row r="9" spans="2:12" x14ac:dyDescent="0.3">
      <c r="B9" t="s">
        <v>4</v>
      </c>
      <c r="C9">
        <v>1500</v>
      </c>
      <c r="D9">
        <v>1800</v>
      </c>
      <c r="E9">
        <v>1200</v>
      </c>
      <c r="F9">
        <v>900</v>
      </c>
      <c r="G9">
        <v>800</v>
      </c>
      <c r="H9">
        <v>1000</v>
      </c>
      <c r="J9" s="3">
        <f>SUMPRODUCT($C$3:$H$3,C9:H9)</f>
        <v>7593.75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Relatório de Sensibilidade 1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 Martins</dc:creator>
  <cp:lastModifiedBy>José  Martins</cp:lastModifiedBy>
  <dcterms:created xsi:type="dcterms:W3CDTF">2024-03-14T14:12:28Z</dcterms:created>
  <dcterms:modified xsi:type="dcterms:W3CDTF">2024-03-14T14:51:56Z</dcterms:modified>
</cp:coreProperties>
</file>