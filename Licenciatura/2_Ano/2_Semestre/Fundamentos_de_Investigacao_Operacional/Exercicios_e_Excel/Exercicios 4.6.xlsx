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Universidade\2 Ano\Fundamentos Investigação Operacional\"/>
    </mc:Choice>
  </mc:AlternateContent>
  <xr:revisionPtr revIDLastSave="0" documentId="8_{95BAB668-0683-4C78-80F5-8193B8480D70}" xr6:coauthVersionLast="47" xr6:coauthVersionMax="47" xr10:uidLastSave="{00000000-0000-0000-0000-000000000000}"/>
  <bookViews>
    <workbookView xWindow="-108" yWindow="-108" windowWidth="23256" windowHeight="12456" xr2:uid="{714FF28D-19FF-424A-9903-0F2BA582C244}"/>
  </bookViews>
  <sheets>
    <sheet name="Folha1" sheetId="1" r:id="rId1"/>
  </sheets>
  <definedNames>
    <definedName name="solver_adj" localSheetId="0" hidden="1">Folha1!$M$3:$R$3,Folha1!$M$5:$R$11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Folha1!$M$12:$R$12</definedName>
    <definedName name="solver_lhs2" localSheetId="0" hidden="1">Folha1!$M$3:$R$3</definedName>
    <definedName name="solver_lhs3" localSheetId="0" hidden="1">Folha1!$M$5:$R$11</definedName>
    <definedName name="solver_lhs4" localSheetId="0" hidden="1">Folha1!$S$5:$S$11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Folha1!$P$21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5</definedName>
    <definedName name="solver_rel3" localSheetId="0" hidden="1">5</definedName>
    <definedName name="solver_rel4" localSheetId="0" hidden="1">2</definedName>
    <definedName name="solver_rhs1" localSheetId="0" hidden="1">Folha1!$M$14:$R$14</definedName>
    <definedName name="solver_rhs2" localSheetId="0" hidden="1">"binário"</definedName>
    <definedName name="solver_rhs3" localSheetId="0" hidden="1">"binário"</definedName>
    <definedName name="solver_rhs4" localSheetId="0" hidden="1">Folha1!$U$5:$U$11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P19" i="1"/>
  <c r="P18" i="1"/>
  <c r="T15" i="1"/>
  <c r="R12" i="1"/>
  <c r="N12" i="1"/>
  <c r="M12" i="1"/>
  <c r="O12" i="1"/>
  <c r="P12" i="1"/>
  <c r="Q12" i="1"/>
  <c r="S10" i="1"/>
  <c r="S8" i="1"/>
  <c r="S7" i="1"/>
  <c r="S6" i="1"/>
  <c r="S5" i="1"/>
  <c r="I5" i="1"/>
  <c r="I6" i="1"/>
  <c r="I7" i="1"/>
  <c r="I8" i="1"/>
  <c r="I9" i="1"/>
  <c r="I10" i="1"/>
  <c r="I11" i="1"/>
  <c r="I4" i="1"/>
  <c r="S9" i="1"/>
  <c r="P21" i="1" l="1"/>
</calcChain>
</file>

<file path=xl/sharedStrings.xml><?xml version="1.0" encoding="utf-8"?>
<sst xmlns="http://schemas.openxmlformats.org/spreadsheetml/2006/main" count="30" uniqueCount="19">
  <si>
    <t>A1</t>
  </si>
  <si>
    <t>A2</t>
  </si>
  <si>
    <t>A3</t>
  </si>
  <si>
    <t>A4</t>
  </si>
  <si>
    <t>A5</t>
  </si>
  <si>
    <t>A6</t>
  </si>
  <si>
    <t>L1</t>
  </si>
  <si>
    <t>L2</t>
  </si>
  <si>
    <t>L3</t>
  </si>
  <si>
    <t>L4</t>
  </si>
  <si>
    <t>L5</t>
  </si>
  <si>
    <t>L6</t>
  </si>
  <si>
    <t>L7</t>
  </si>
  <si>
    <t>=</t>
  </si>
  <si>
    <t>&lt;=</t>
  </si>
  <si>
    <t>Custo</t>
  </si>
  <si>
    <t>Custo Total</t>
  </si>
  <si>
    <t>Custo total Abastecimento</t>
  </si>
  <si>
    <t>Custo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</si>
</sst>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C39A-4A78-450D-A2C3-65173EF19580}">
  <dimension ref="A2:U21"/>
  <sheetViews>
    <sheetView tabSelected="1" zoomScale="85" zoomScaleNormal="85" workbookViewId="0">
      <selection activeCell="P23" sqref="P23"/>
    </sheetView>
  </sheetViews>
  <sheetFormatPr defaultRowHeight="14.4" x14ac:dyDescent="0.3"/>
  <cols>
    <col min="11" max="11" width="7.44140625" customWidth="1"/>
    <col min="12" max="12" width="3.6640625" customWidth="1"/>
    <col min="20" max="20" width="11.88671875" customWidth="1"/>
  </cols>
  <sheetData>
    <row r="2" spans="1:21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21" x14ac:dyDescent="0.3">
      <c r="C3" s="1"/>
      <c r="D3" s="1"/>
      <c r="E3" s="1"/>
      <c r="F3" s="1"/>
      <c r="G3" s="1"/>
      <c r="H3" s="1"/>
      <c r="M3" s="1">
        <v>1</v>
      </c>
      <c r="N3" s="1">
        <v>1</v>
      </c>
      <c r="O3" s="1">
        <v>0</v>
      </c>
      <c r="P3" s="1">
        <v>0</v>
      </c>
      <c r="Q3" s="1">
        <v>0</v>
      </c>
      <c r="R3" s="1">
        <v>0</v>
      </c>
    </row>
    <row r="4" spans="1:21" x14ac:dyDescent="0.3">
      <c r="C4" s="2">
        <v>20</v>
      </c>
      <c r="D4" s="2">
        <v>30</v>
      </c>
      <c r="E4" s="2">
        <v>40</v>
      </c>
      <c r="F4" s="2">
        <v>35</v>
      </c>
      <c r="G4" s="2">
        <v>55</v>
      </c>
      <c r="H4" s="2">
        <v>25</v>
      </c>
      <c r="I4">
        <f>SUMPRODUCT(C4:H4,$C$3:$H$3)</f>
        <v>0</v>
      </c>
    </row>
    <row r="5" spans="1:21" x14ac:dyDescent="0.3">
      <c r="A5" t="s">
        <v>6</v>
      </c>
      <c r="B5" s="1"/>
      <c r="C5" s="2">
        <v>10</v>
      </c>
      <c r="D5" s="2">
        <v>5</v>
      </c>
      <c r="E5" s="2">
        <v>9</v>
      </c>
      <c r="F5" s="2">
        <v>7</v>
      </c>
      <c r="G5" s="2">
        <v>2</v>
      </c>
      <c r="H5" s="2">
        <v>10</v>
      </c>
      <c r="I5">
        <f t="shared" ref="I5:I11" si="0">SUMPRODUCT(C5:H5,$C$3:$H$3)</f>
        <v>0</v>
      </c>
      <c r="M5" s="3">
        <v>0</v>
      </c>
      <c r="N5" s="3">
        <v>1</v>
      </c>
      <c r="O5" s="3">
        <v>0</v>
      </c>
      <c r="P5" s="3">
        <v>0</v>
      </c>
      <c r="Q5" s="3">
        <v>0</v>
      </c>
      <c r="R5" s="3">
        <v>0</v>
      </c>
      <c r="S5" s="4">
        <f>SUM(M5:R5)</f>
        <v>1</v>
      </c>
      <c r="T5" s="2" t="s">
        <v>13</v>
      </c>
      <c r="U5" s="2">
        <v>1</v>
      </c>
    </row>
    <row r="6" spans="1:21" x14ac:dyDescent="0.3">
      <c r="A6" t="s">
        <v>7</v>
      </c>
      <c r="B6" s="1"/>
      <c r="C6" s="2">
        <v>6</v>
      </c>
      <c r="D6" s="2">
        <v>7</v>
      </c>
      <c r="E6" s="2">
        <v>10</v>
      </c>
      <c r="F6" s="2">
        <v>9</v>
      </c>
      <c r="G6" s="2">
        <v>2</v>
      </c>
      <c r="H6" s="2">
        <v>5</v>
      </c>
      <c r="I6">
        <f t="shared" si="0"/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4">
        <f>SUM(M6:R6)</f>
        <v>1</v>
      </c>
      <c r="T6" s="2" t="s">
        <v>13</v>
      </c>
      <c r="U6" s="2">
        <v>1</v>
      </c>
    </row>
    <row r="7" spans="1:21" x14ac:dyDescent="0.3">
      <c r="A7" t="s">
        <v>8</v>
      </c>
      <c r="B7" s="1"/>
      <c r="C7" s="2">
        <v>7</v>
      </c>
      <c r="D7" s="2">
        <v>10</v>
      </c>
      <c r="E7" s="2">
        <v>2</v>
      </c>
      <c r="F7" s="2">
        <v>1</v>
      </c>
      <c r="G7" s="2">
        <v>9</v>
      </c>
      <c r="H7" s="2">
        <v>7</v>
      </c>
      <c r="I7">
        <f t="shared" si="0"/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4">
        <f>SUM(M7:R7)</f>
        <v>1</v>
      </c>
      <c r="T7" s="2" t="s">
        <v>13</v>
      </c>
      <c r="U7" s="2">
        <v>1</v>
      </c>
    </row>
    <row r="8" spans="1:21" x14ac:dyDescent="0.3">
      <c r="A8" t="s">
        <v>9</v>
      </c>
      <c r="B8" s="1"/>
      <c r="C8" s="2">
        <v>2</v>
      </c>
      <c r="D8" s="2">
        <v>7</v>
      </c>
      <c r="E8" s="2">
        <v>10</v>
      </c>
      <c r="F8" s="2">
        <v>2</v>
      </c>
      <c r="G8" s="2">
        <v>10</v>
      </c>
      <c r="H8" s="2">
        <v>3</v>
      </c>
      <c r="I8">
        <f t="shared" si="0"/>
        <v>0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f>SUM(M8:R8)</f>
        <v>1</v>
      </c>
      <c r="T8" s="2" t="s">
        <v>13</v>
      </c>
      <c r="U8" s="2">
        <v>1</v>
      </c>
    </row>
    <row r="9" spans="1:21" x14ac:dyDescent="0.3">
      <c r="A9" t="s">
        <v>10</v>
      </c>
      <c r="B9" s="1"/>
      <c r="C9" s="2">
        <v>6</v>
      </c>
      <c r="D9" s="2">
        <v>9</v>
      </c>
      <c r="E9" s="2">
        <v>1</v>
      </c>
      <c r="F9" s="2">
        <v>7</v>
      </c>
      <c r="G9" s="2">
        <v>7</v>
      </c>
      <c r="H9" s="2">
        <v>8</v>
      </c>
      <c r="I9">
        <f t="shared" si="0"/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4">
        <f>SUM(M9:R9)</f>
        <v>1</v>
      </c>
      <c r="T9" s="2" t="s">
        <v>13</v>
      </c>
      <c r="U9" s="2">
        <v>1</v>
      </c>
    </row>
    <row r="10" spans="1:21" x14ac:dyDescent="0.3">
      <c r="A10" t="s">
        <v>11</v>
      </c>
      <c r="B10" s="1"/>
      <c r="C10" s="2">
        <v>9</v>
      </c>
      <c r="D10" s="2">
        <v>9</v>
      </c>
      <c r="E10" s="2">
        <v>6</v>
      </c>
      <c r="F10" s="2">
        <v>6</v>
      </c>
      <c r="G10" s="2">
        <v>5</v>
      </c>
      <c r="H10" s="2">
        <v>8</v>
      </c>
      <c r="I10">
        <f t="shared" si="0"/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4">
        <f>SUM(M10:R10)</f>
        <v>1</v>
      </c>
      <c r="T10" s="2" t="s">
        <v>13</v>
      </c>
      <c r="U10" s="2">
        <v>1</v>
      </c>
    </row>
    <row r="11" spans="1:21" x14ac:dyDescent="0.3">
      <c r="A11" t="s">
        <v>12</v>
      </c>
      <c r="B11" s="1"/>
      <c r="C11" s="2">
        <v>5</v>
      </c>
      <c r="D11" s="2">
        <v>9</v>
      </c>
      <c r="E11" s="2">
        <v>6</v>
      </c>
      <c r="F11" s="2">
        <v>5</v>
      </c>
      <c r="G11" s="2">
        <v>4</v>
      </c>
      <c r="H11" s="2">
        <v>9</v>
      </c>
      <c r="I11">
        <f t="shared" si="0"/>
        <v>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4">
        <f>SUM(M11:R11)</f>
        <v>1</v>
      </c>
      <c r="T11" s="2" t="s">
        <v>13</v>
      </c>
      <c r="U11" s="2">
        <v>1</v>
      </c>
    </row>
    <row r="12" spans="1:21" x14ac:dyDescent="0.3">
      <c r="M12" s="5">
        <f>SUM(M5:M11)-C13*M3</f>
        <v>0</v>
      </c>
      <c r="N12" s="5">
        <f>SUM(N5:N11)-D13*N3</f>
        <v>0</v>
      </c>
      <c r="O12" s="5">
        <f t="shared" ref="N12:R12" si="1">SUM(O5:O11)-E13*O3</f>
        <v>0</v>
      </c>
      <c r="P12" s="5">
        <f t="shared" si="1"/>
        <v>0</v>
      </c>
      <c r="Q12" s="5">
        <f t="shared" si="1"/>
        <v>0</v>
      </c>
      <c r="R12" s="5">
        <f t="shared" si="1"/>
        <v>0</v>
      </c>
    </row>
    <row r="13" spans="1:21" x14ac:dyDescent="0.3">
      <c r="B13" t="s">
        <v>15</v>
      </c>
      <c r="C13" s="2">
        <v>3</v>
      </c>
      <c r="D13" s="2">
        <v>4</v>
      </c>
      <c r="E13" s="2">
        <v>2</v>
      </c>
      <c r="F13" s="2">
        <v>3</v>
      </c>
      <c r="G13" s="2">
        <v>4</v>
      </c>
      <c r="H13" s="2">
        <v>2</v>
      </c>
      <c r="M13" s="2" t="s">
        <v>14</v>
      </c>
      <c r="N13" s="2" t="s">
        <v>14</v>
      </c>
      <c r="O13" s="2" t="s">
        <v>14</v>
      </c>
      <c r="P13" s="2" t="s">
        <v>14</v>
      </c>
      <c r="Q13" s="2" t="s">
        <v>14</v>
      </c>
      <c r="R13" s="2" t="s">
        <v>14</v>
      </c>
    </row>
    <row r="14" spans="1:21" x14ac:dyDescent="0.3"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21" x14ac:dyDescent="0.3">
      <c r="M15" s="2"/>
      <c r="N15" s="2"/>
      <c r="O15" s="2"/>
      <c r="P15" s="2"/>
      <c r="Q15" s="2"/>
      <c r="R15" s="2"/>
      <c r="T15">
        <f>SUMPRODUCT(C5:H11,M5:R11)+SUMPRODUCT(C4:H4,M3:R3)</f>
        <v>94</v>
      </c>
    </row>
    <row r="18" spans="13:16" x14ac:dyDescent="0.3">
      <c r="M18" t="s">
        <v>16</v>
      </c>
      <c r="P18">
        <f>SUMPRODUCT(C4:H4,M3:R3)</f>
        <v>50</v>
      </c>
    </row>
    <row r="19" spans="13:16" x14ac:dyDescent="0.3">
      <c r="M19" t="s">
        <v>17</v>
      </c>
      <c r="P19">
        <f>SUMPRODUCT(M5:R11,C5:H11)</f>
        <v>44</v>
      </c>
    </row>
    <row r="21" spans="13:16" x14ac:dyDescent="0.3">
      <c r="M21" t="s">
        <v>18</v>
      </c>
      <c r="P21">
        <f>SUM(P18:P19)</f>
        <v>94</v>
      </c>
    </row>
  </sheetData>
  <phoneticPr fontId="1" type="noConversion"/>
  <conditionalFormatting sqref="M5:R1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 Martins</dc:creator>
  <cp:lastModifiedBy>José  Martins</cp:lastModifiedBy>
  <dcterms:created xsi:type="dcterms:W3CDTF">2024-04-11T12:24:40Z</dcterms:created>
  <dcterms:modified xsi:type="dcterms:W3CDTF">2024-04-11T13:23:54Z</dcterms:modified>
</cp:coreProperties>
</file>