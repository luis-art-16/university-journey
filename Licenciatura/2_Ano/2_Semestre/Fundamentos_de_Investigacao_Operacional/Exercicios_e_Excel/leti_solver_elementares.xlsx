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ilipe\Documents\2023_24\leti_leap\"/>
    </mc:Choice>
  </mc:AlternateContent>
  <bookViews>
    <workbookView xWindow="0" yWindow="0" windowWidth="19200" windowHeight="7960" activeTab="2"/>
  </bookViews>
  <sheets>
    <sheet name="2_1" sheetId="1" r:id="rId1"/>
    <sheet name="2_5" sheetId="2" r:id="rId2"/>
    <sheet name="4_2" sheetId="3" r:id="rId3"/>
  </sheets>
  <definedNames>
    <definedName name="solver_adj" localSheetId="0" hidden="1">'2_1'!$C$5:$E$5</definedName>
    <definedName name="solver_adj" localSheetId="1" hidden="1">'2_5'!$C$4:$O$4</definedName>
    <definedName name="solver_adj" localSheetId="2" hidden="1">'4_2'!$O$6:$X$15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drv" localSheetId="0" hidden="1">2</definedName>
    <definedName name="solver_drv" localSheetId="1" hidden="1">1</definedName>
    <definedName name="solver_drv" localSheetId="2" hidden="1">1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lhs1" localSheetId="0" hidden="1">'2_1'!$F$6:$F$9</definedName>
    <definedName name="solver_lhs1" localSheetId="1" hidden="1">'2_5'!$C$4:$O$4</definedName>
    <definedName name="solver_lhs1" localSheetId="2" hidden="1">'4_2'!$O$17:$X$17</definedName>
    <definedName name="solver_lhs2" localSheetId="1" hidden="1">'2_5'!$P$5:$P$14</definedName>
    <definedName name="solver_lhs2" localSheetId="2" hidden="1">'4_2'!$O$6:$X$15</definedName>
    <definedName name="solver_lhs3" localSheetId="2" hidden="1">'4_2'!$Z$6:$Z$15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um" localSheetId="0" hidden="1">1</definedName>
    <definedName name="solver_num" localSheetId="1" hidden="1">2</definedName>
    <definedName name="solver_num" localSheetId="2" hidden="1">3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opt" localSheetId="0" hidden="1">'2_1'!$F$10</definedName>
    <definedName name="solver_opt" localSheetId="1" hidden="1">'2_5'!$P$15</definedName>
    <definedName name="solver_opt" localSheetId="2" hidden="1">'4_2'!$Z$17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rbv" localSheetId="0" hidden="1">2</definedName>
    <definedName name="solver_rbv" localSheetId="1" hidden="1">1</definedName>
    <definedName name="solver_rbv" localSheetId="2" hidden="1">1</definedName>
    <definedName name="solver_rel1" localSheetId="0" hidden="1">1</definedName>
    <definedName name="solver_rel1" localSheetId="1" hidden="1">5</definedName>
    <definedName name="solver_rel1" localSheetId="2" hidden="1">2</definedName>
    <definedName name="solver_rel2" localSheetId="1" hidden="1">1</definedName>
    <definedName name="solver_rel2" localSheetId="2" hidden="1">5</definedName>
    <definedName name="solver_rel3" localSheetId="2" hidden="1">2</definedName>
    <definedName name="solver_rhs1" localSheetId="0" hidden="1">'2_1'!$H$6:$H$9</definedName>
    <definedName name="solver_rhs1" localSheetId="1" hidden="1">"binary"</definedName>
    <definedName name="solver_rhs1" localSheetId="2" hidden="1">'4_2'!$O$19:$X$19</definedName>
    <definedName name="solver_rhs2" localSheetId="1" hidden="1">'2_5'!$R$5:$R$14</definedName>
    <definedName name="solver_rhs2" localSheetId="2" hidden="1">"binary"</definedName>
    <definedName name="solver_rhs3" localSheetId="2" hidden="1">'4_2'!$AB$6:$AB$15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scl" localSheetId="0" hidden="1">2</definedName>
    <definedName name="solver_scl" localSheetId="1" hidden="1">1</definedName>
    <definedName name="solver_scl" localSheetId="2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yp" localSheetId="0" hidden="1">1</definedName>
    <definedName name="solver_typ" localSheetId="1" hidden="1">1</definedName>
    <definedName name="solver_typ" localSheetId="2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er" localSheetId="0" hidden="1">3</definedName>
    <definedName name="solver_ver" localSheetId="1" hidden="1">3</definedName>
    <definedName name="solver_ver" localSheetId="2" hidden="1">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17" i="3" l="1"/>
  <c r="P17" i="3"/>
  <c r="Q17" i="3"/>
  <c r="R17" i="3"/>
  <c r="S17" i="3"/>
  <c r="T17" i="3"/>
  <c r="U17" i="3"/>
  <c r="V17" i="3"/>
  <c r="W17" i="3"/>
  <c r="X17" i="3"/>
  <c r="O17" i="3"/>
  <c r="Z7" i="3"/>
  <c r="Z8" i="3"/>
  <c r="Z9" i="3"/>
  <c r="Z10" i="3"/>
  <c r="Z11" i="3"/>
  <c r="Z12" i="3"/>
  <c r="Z13" i="3"/>
  <c r="Z14" i="3"/>
  <c r="Z15" i="3"/>
  <c r="Z6" i="3"/>
  <c r="P15" i="2"/>
  <c r="P6" i="2"/>
  <c r="P7" i="2"/>
  <c r="P8" i="2"/>
  <c r="P9" i="2"/>
  <c r="P10" i="2"/>
  <c r="P11" i="2"/>
  <c r="P12" i="2"/>
  <c r="P13" i="2"/>
  <c r="P14" i="2"/>
  <c r="P5" i="2"/>
  <c r="F10" i="1"/>
  <c r="F8" i="1"/>
  <c r="F6" i="1"/>
  <c r="F7" i="1"/>
  <c r="F9" i="1"/>
</calcChain>
</file>

<file path=xl/sharedStrings.xml><?xml version="1.0" encoding="utf-8"?>
<sst xmlns="http://schemas.openxmlformats.org/spreadsheetml/2006/main" count="113" uniqueCount="60">
  <si>
    <t>Recursos</t>
  </si>
  <si>
    <t>Produtos</t>
  </si>
  <si>
    <t>Disponibilidade</t>
  </si>
  <si>
    <t>P1</t>
  </si>
  <si>
    <t>P2</t>
  </si>
  <si>
    <t>P3</t>
  </si>
  <si>
    <t>M1</t>
  </si>
  <si>
    <t>h</t>
  </si>
  <si>
    <t>M2</t>
  </si>
  <si>
    <t>MP1</t>
  </si>
  <si>
    <t>m</t>
  </si>
  <si>
    <t>MP2</t>
  </si>
  <si>
    <t>Kg</t>
  </si>
  <si>
    <t>Lucro</t>
  </si>
  <si>
    <t>&lt;=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</si>
  <si>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</si>
  <si>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</si>
  <si>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</si>
  <si>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</si>
  <si>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</si>
  <si>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</si>
  <si>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</si>
  <si>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</si>
  <si>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</si>
  <si>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</si>
  <si>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</si>
  <si>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</si>
  <si>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</si>
  <si>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</si>
  <si>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</si>
  <si>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</si>
  <si>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</si>
  <si>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</si>
  <si>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</si>
  <si>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</si>
  <si>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</si>
  <si>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</si>
  <si>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</si>
  <si>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Ben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</si>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</sst>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6C9EC"/>
        <bgColor indexed="64"/>
      </patternFill>
    </fill>
  </fills>
  <borders count="6">
    <border>
      <left/>
      <right/>
      <top/>
      <bottom/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 style="medium">
        <color rgb="FFD4D4D4"/>
      </bottom>
      <diagonal/>
    </border>
    <border>
      <left/>
      <right style="medium">
        <color rgb="FFD4D4D4"/>
      </right>
      <top style="medium">
        <color rgb="FFD4D4D4"/>
      </top>
      <bottom style="medium">
        <color rgb="FFD4D4D4"/>
      </bottom>
      <diagonal/>
    </border>
    <border>
      <left style="medium">
        <color rgb="FFD4D4D4"/>
      </left>
      <right style="medium">
        <color rgb="FFD4D4D4"/>
      </right>
      <top/>
      <bottom style="medium">
        <color rgb="FFD4D4D4"/>
      </bottom>
      <diagonal/>
    </border>
    <border>
      <left/>
      <right style="medium">
        <color rgb="FFD4D4D4"/>
      </right>
      <top/>
      <bottom style="medium">
        <color rgb="FFD4D4D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1" xfId="0" applyFont="1" applyBorder="1"/>
    <xf numFmtId="0" fontId="2" fillId="0" borderId="2" xfId="0" applyFont="1" applyBorder="1" applyAlignment="1">
      <alignment vertic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3" xfId="0" applyFont="1" applyBorder="1" applyAlignment="1">
      <alignment vertical="center"/>
    </xf>
    <xf numFmtId="0" fontId="2" fillId="5" borderId="4" xfId="0" applyFont="1" applyFill="1" applyBorder="1" applyAlignment="1">
      <alignment horizontal="right" vertical="center"/>
    </xf>
    <xf numFmtId="0" fontId="2" fillId="3" borderId="4" xfId="0" applyFont="1" applyFill="1" applyBorder="1" applyAlignment="1">
      <alignment horizontal="right" vertical="center"/>
    </xf>
    <xf numFmtId="0" fontId="1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168" fontId="2" fillId="2" borderId="4" xfId="0" applyNumberFormat="1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2" borderId="5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10"/>
  <sheetViews>
    <sheetView zoomScale="175" zoomScaleNormal="175" workbookViewId="0">
      <selection activeCell="F11" sqref="F11"/>
    </sheetView>
  </sheetViews>
  <sheetFormatPr defaultRowHeight="14.5" x14ac:dyDescent="0.35"/>
  <sheetData>
    <row r="4" spans="1:9" x14ac:dyDescent="0.35">
      <c r="B4" t="s">
        <v>1</v>
      </c>
      <c r="C4" t="s">
        <v>3</v>
      </c>
      <c r="D4" t="s">
        <v>4</v>
      </c>
      <c r="E4" t="s">
        <v>5</v>
      </c>
      <c r="F4" t="s">
        <v>2</v>
      </c>
    </row>
    <row r="5" spans="1:9" x14ac:dyDescent="0.35">
      <c r="C5" s="1">
        <v>7.163636363636364</v>
      </c>
      <c r="D5" s="1">
        <v>0</v>
      </c>
      <c r="E5" s="1">
        <v>1.3454545454545457</v>
      </c>
    </row>
    <row r="6" spans="1:9" x14ac:dyDescent="0.35">
      <c r="A6" t="s">
        <v>0</v>
      </c>
      <c r="B6" t="s">
        <v>6</v>
      </c>
      <c r="C6">
        <v>10</v>
      </c>
      <c r="D6">
        <v>20</v>
      </c>
      <c r="E6">
        <v>30</v>
      </c>
      <c r="F6" s="3">
        <f>SUMPRODUCT(C6:E6,$C$5:$E$5)</f>
        <v>112.00000000000001</v>
      </c>
      <c r="G6" t="s">
        <v>14</v>
      </c>
      <c r="H6">
        <v>112</v>
      </c>
      <c r="I6" t="s">
        <v>7</v>
      </c>
    </row>
    <row r="7" spans="1:9" x14ac:dyDescent="0.35">
      <c r="B7" t="s">
        <v>8</v>
      </c>
      <c r="C7">
        <v>9</v>
      </c>
      <c r="D7">
        <v>3</v>
      </c>
      <c r="E7">
        <v>5</v>
      </c>
      <c r="F7" s="3">
        <f>SUMPRODUCT(C7:E7,$C$5:$E$5)</f>
        <v>71.2</v>
      </c>
      <c r="G7" t="s">
        <v>14</v>
      </c>
      <c r="H7">
        <v>80</v>
      </c>
      <c r="I7" t="s">
        <v>7</v>
      </c>
    </row>
    <row r="8" spans="1:9" x14ac:dyDescent="0.35">
      <c r="B8" t="s">
        <v>9</v>
      </c>
      <c r="C8">
        <v>4</v>
      </c>
      <c r="D8">
        <v>3</v>
      </c>
      <c r="E8">
        <v>1</v>
      </c>
      <c r="F8" s="3">
        <f>SUMPRODUCT(C8:E8,$C$5:$E$5)</f>
        <v>30</v>
      </c>
      <c r="G8" t="s">
        <v>14</v>
      </c>
      <c r="H8">
        <v>30</v>
      </c>
      <c r="I8" t="s">
        <v>10</v>
      </c>
    </row>
    <row r="9" spans="1:9" x14ac:dyDescent="0.35">
      <c r="B9" t="s">
        <v>11</v>
      </c>
      <c r="C9">
        <v>34</v>
      </c>
      <c r="D9">
        <v>35</v>
      </c>
      <c r="E9">
        <v>17</v>
      </c>
      <c r="F9" s="3">
        <f>SUMPRODUCT(C9:E9,$C$5:$E$5)</f>
        <v>266.43636363636364</v>
      </c>
      <c r="G9" t="s">
        <v>14</v>
      </c>
      <c r="H9">
        <v>300</v>
      </c>
      <c r="I9" t="s">
        <v>12</v>
      </c>
    </row>
    <row r="10" spans="1:9" x14ac:dyDescent="0.35">
      <c r="B10" t="s">
        <v>13</v>
      </c>
      <c r="C10">
        <v>25</v>
      </c>
      <c r="D10">
        <v>27</v>
      </c>
      <c r="E10">
        <v>33</v>
      </c>
      <c r="F10" s="2">
        <f>SUMPRODUCT(C10:E10,$C$5:$E$5)</f>
        <v>223.4909090909091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15"/>
  <sheetViews>
    <sheetView workbookViewId="0">
      <selection activeCell="U11" sqref="U11"/>
    </sheetView>
  </sheetViews>
  <sheetFormatPr defaultRowHeight="14.5" x14ac:dyDescent="0.35"/>
  <cols>
    <col min="2" max="2" width="4.26953125" bestFit="1" customWidth="1"/>
    <col min="3" max="15" width="4.7265625" bestFit="1" customWidth="1"/>
    <col min="16" max="16" width="9.7265625" customWidth="1"/>
    <col min="17" max="17" width="2.81640625" bestFit="1" customWidth="1"/>
    <col min="18" max="18" width="1.81640625" bestFit="1" customWidth="1"/>
  </cols>
  <sheetData>
    <row r="2" spans="2:18" ht="15" thickBot="1" x14ac:dyDescent="0.4"/>
    <row r="3" spans="2:18" ht="15" thickBot="1" x14ac:dyDescent="0.4">
      <c r="B3" s="4"/>
      <c r="C3" s="5" t="s">
        <v>15</v>
      </c>
      <c r="D3" s="5" t="s">
        <v>16</v>
      </c>
      <c r="E3" s="5" t="s">
        <v>17</v>
      </c>
      <c r="F3" s="5" t="s">
        <v>18</v>
      </c>
      <c r="G3" s="5" t="s">
        <v>19</v>
      </c>
      <c r="H3" s="5" t="s">
        <v>20</v>
      </c>
      <c r="I3" s="5" t="s">
        <v>21</v>
      </c>
      <c r="J3" s="5" t="s">
        <v>22</v>
      </c>
      <c r="K3" s="5" t="s">
        <v>23</v>
      </c>
      <c r="L3" s="5" t="s">
        <v>24</v>
      </c>
      <c r="M3" s="5" t="s">
        <v>25</v>
      </c>
      <c r="N3" s="5" t="s">
        <v>26</v>
      </c>
      <c r="O3" s="5" t="s">
        <v>27</v>
      </c>
      <c r="P3" s="6"/>
    </row>
    <row r="4" spans="2:18" ht="15" thickBot="1" x14ac:dyDescent="0.4">
      <c r="B4" s="7"/>
      <c r="C4" s="14">
        <v>0</v>
      </c>
      <c r="D4" s="14">
        <v>0</v>
      </c>
      <c r="E4" s="14">
        <v>0</v>
      </c>
      <c r="F4" s="14">
        <v>0</v>
      </c>
      <c r="G4" s="14">
        <v>1</v>
      </c>
      <c r="H4" s="14">
        <v>0</v>
      </c>
      <c r="I4" s="14">
        <v>0</v>
      </c>
      <c r="J4" s="14">
        <v>0</v>
      </c>
      <c r="K4" s="14">
        <v>0</v>
      </c>
      <c r="L4" s="14">
        <v>1</v>
      </c>
      <c r="M4" s="14">
        <v>1</v>
      </c>
      <c r="N4" s="14">
        <v>0</v>
      </c>
      <c r="O4" s="14">
        <v>0</v>
      </c>
      <c r="P4" s="8"/>
    </row>
    <row r="5" spans="2:18" ht="15" thickBot="1" x14ac:dyDescent="0.4">
      <c r="B5" s="9" t="s">
        <v>28</v>
      </c>
      <c r="C5" s="12"/>
      <c r="D5" s="12"/>
      <c r="E5" s="12"/>
      <c r="F5" s="12"/>
      <c r="G5" s="12"/>
      <c r="H5" s="12"/>
      <c r="I5" s="13">
        <v>1</v>
      </c>
      <c r="J5" s="12"/>
      <c r="K5" s="13">
        <v>1</v>
      </c>
      <c r="L5" s="13">
        <v>1</v>
      </c>
      <c r="M5" s="12"/>
      <c r="N5" s="12"/>
      <c r="O5" s="13">
        <v>1</v>
      </c>
      <c r="P5" s="10">
        <f>SUMPRODUCT($C$4:$O$4,C5:O5)</f>
        <v>1</v>
      </c>
      <c r="Q5" t="s">
        <v>14</v>
      </c>
      <c r="R5">
        <v>1</v>
      </c>
    </row>
    <row r="6" spans="2:18" ht="15" thickBot="1" x14ac:dyDescent="0.4">
      <c r="B6" s="9" t="s">
        <v>29</v>
      </c>
      <c r="C6" s="12"/>
      <c r="D6" s="13">
        <v>1</v>
      </c>
      <c r="E6" s="12"/>
      <c r="F6" s="12"/>
      <c r="G6" s="12"/>
      <c r="H6" s="12"/>
      <c r="I6" s="12"/>
      <c r="J6" s="13">
        <v>1</v>
      </c>
      <c r="K6" s="13">
        <v>1</v>
      </c>
      <c r="L6" s="12"/>
      <c r="M6" s="12"/>
      <c r="N6" s="12"/>
      <c r="O6" s="13">
        <v>1</v>
      </c>
      <c r="P6" s="10">
        <f t="shared" ref="P6:P15" si="0">SUMPRODUCT($C$4:$O$4,C6:O6)</f>
        <v>0</v>
      </c>
      <c r="Q6" t="s">
        <v>14</v>
      </c>
      <c r="R6">
        <v>1</v>
      </c>
    </row>
    <row r="7" spans="2:18" ht="15" thickBot="1" x14ac:dyDescent="0.4">
      <c r="B7" s="9" t="s">
        <v>30</v>
      </c>
      <c r="C7" s="12"/>
      <c r="D7" s="12"/>
      <c r="E7" s="13">
        <v>1</v>
      </c>
      <c r="F7" s="12"/>
      <c r="G7" s="12"/>
      <c r="H7" s="12"/>
      <c r="I7" s="12"/>
      <c r="J7" s="12"/>
      <c r="K7" s="13">
        <v>1</v>
      </c>
      <c r="L7" s="13">
        <v>1</v>
      </c>
      <c r="M7" s="12"/>
      <c r="N7" s="13">
        <v>1</v>
      </c>
      <c r="O7" s="12"/>
      <c r="P7" s="10">
        <f t="shared" si="0"/>
        <v>1</v>
      </c>
      <c r="Q7" t="s">
        <v>14</v>
      </c>
      <c r="R7">
        <v>1</v>
      </c>
    </row>
    <row r="8" spans="2:18" ht="15" thickBot="1" x14ac:dyDescent="0.4">
      <c r="B8" s="9" t="s">
        <v>31</v>
      </c>
      <c r="C8" s="12"/>
      <c r="D8" s="12"/>
      <c r="E8" s="12"/>
      <c r="F8" s="13">
        <v>1</v>
      </c>
      <c r="G8" s="13">
        <v>1</v>
      </c>
      <c r="H8" s="12"/>
      <c r="I8" s="12"/>
      <c r="J8" s="13">
        <v>1</v>
      </c>
      <c r="K8" s="13">
        <v>1</v>
      </c>
      <c r="L8" s="12"/>
      <c r="M8" s="12"/>
      <c r="N8" s="12"/>
      <c r="O8" s="12"/>
      <c r="P8" s="10">
        <f t="shared" si="0"/>
        <v>1</v>
      </c>
      <c r="Q8" t="s">
        <v>14</v>
      </c>
      <c r="R8">
        <v>1</v>
      </c>
    </row>
    <row r="9" spans="2:18" ht="15" thickBot="1" x14ac:dyDescent="0.4">
      <c r="B9" s="9" t="s">
        <v>32</v>
      </c>
      <c r="C9" s="12"/>
      <c r="D9" s="12"/>
      <c r="E9" s="13">
        <v>1</v>
      </c>
      <c r="F9" s="12"/>
      <c r="G9" s="12"/>
      <c r="H9" s="13">
        <v>1</v>
      </c>
      <c r="I9" s="12"/>
      <c r="J9" s="13">
        <v>1</v>
      </c>
      <c r="K9" s="12"/>
      <c r="L9" s="12"/>
      <c r="M9" s="13">
        <v>1</v>
      </c>
      <c r="N9" s="12"/>
      <c r="O9" s="12"/>
      <c r="P9" s="10">
        <f t="shared" si="0"/>
        <v>1</v>
      </c>
      <c r="Q9" t="s">
        <v>14</v>
      </c>
      <c r="R9">
        <v>1</v>
      </c>
    </row>
    <row r="10" spans="2:18" ht="15" thickBot="1" x14ac:dyDescent="0.4">
      <c r="B10" s="9" t="s">
        <v>33</v>
      </c>
      <c r="C10" s="12"/>
      <c r="D10" s="12"/>
      <c r="E10" s="13">
        <v>1</v>
      </c>
      <c r="F10" s="12"/>
      <c r="G10" s="12"/>
      <c r="H10" s="13">
        <v>1</v>
      </c>
      <c r="I10" s="13">
        <v>1</v>
      </c>
      <c r="J10" s="12"/>
      <c r="K10" s="12"/>
      <c r="L10" s="13">
        <v>1</v>
      </c>
      <c r="M10" s="12"/>
      <c r="N10" s="12"/>
      <c r="O10" s="12"/>
      <c r="P10" s="10">
        <f t="shared" si="0"/>
        <v>1</v>
      </c>
      <c r="Q10" t="s">
        <v>14</v>
      </c>
      <c r="R10">
        <v>1</v>
      </c>
    </row>
    <row r="11" spans="2:18" ht="15" thickBot="1" x14ac:dyDescent="0.4">
      <c r="B11" s="9" t="s">
        <v>34</v>
      </c>
      <c r="C11" s="12"/>
      <c r="D11" s="13">
        <v>1</v>
      </c>
      <c r="E11" s="12"/>
      <c r="F11" s="13">
        <v>1</v>
      </c>
      <c r="G11" s="13">
        <v>1</v>
      </c>
      <c r="H11" s="12"/>
      <c r="I11" s="12"/>
      <c r="J11" s="12"/>
      <c r="K11" s="12"/>
      <c r="L11" s="12"/>
      <c r="M11" s="12"/>
      <c r="N11" s="13">
        <v>1</v>
      </c>
      <c r="O11" s="12"/>
      <c r="P11" s="10">
        <f t="shared" si="0"/>
        <v>1</v>
      </c>
      <c r="Q11" t="s">
        <v>14</v>
      </c>
      <c r="R11">
        <v>1</v>
      </c>
    </row>
    <row r="12" spans="2:18" ht="15" thickBot="1" x14ac:dyDescent="0.4">
      <c r="B12" s="9" t="s">
        <v>35</v>
      </c>
      <c r="C12" s="12"/>
      <c r="D12" s="12"/>
      <c r="E12" s="12"/>
      <c r="F12" s="13">
        <v>1</v>
      </c>
      <c r="G12" s="13">
        <v>1</v>
      </c>
      <c r="H12" s="13">
        <v>1</v>
      </c>
      <c r="I12" s="12"/>
      <c r="J12" s="12"/>
      <c r="K12" s="12"/>
      <c r="L12" s="12"/>
      <c r="M12" s="12"/>
      <c r="N12" s="12"/>
      <c r="O12" s="13">
        <v>1</v>
      </c>
      <c r="P12" s="10">
        <f t="shared" si="0"/>
        <v>1</v>
      </c>
      <c r="Q12" t="s">
        <v>14</v>
      </c>
      <c r="R12">
        <v>1</v>
      </c>
    </row>
    <row r="13" spans="2:18" ht="15" thickBot="1" x14ac:dyDescent="0.4">
      <c r="B13" s="9" t="s">
        <v>36</v>
      </c>
      <c r="C13" s="13">
        <v>1</v>
      </c>
      <c r="D13" s="13">
        <v>1</v>
      </c>
      <c r="E13" s="12"/>
      <c r="F13" s="13">
        <v>1</v>
      </c>
      <c r="G13" s="12"/>
      <c r="H13" s="12"/>
      <c r="I13" s="12"/>
      <c r="J13" s="12"/>
      <c r="K13" s="12"/>
      <c r="L13" s="12"/>
      <c r="M13" s="13">
        <v>1</v>
      </c>
      <c r="N13" s="12"/>
      <c r="O13" s="12"/>
      <c r="P13" s="10">
        <f t="shared" si="0"/>
        <v>1</v>
      </c>
      <c r="Q13" t="s">
        <v>14</v>
      </c>
      <c r="R13">
        <v>1</v>
      </c>
    </row>
    <row r="14" spans="2:18" ht="15" thickBot="1" x14ac:dyDescent="0.4">
      <c r="B14" s="9" t="s">
        <v>37</v>
      </c>
      <c r="C14" s="13">
        <v>1</v>
      </c>
      <c r="D14" s="12"/>
      <c r="E14" s="12"/>
      <c r="F14" s="12"/>
      <c r="G14" s="13">
        <v>1</v>
      </c>
      <c r="H14" s="12"/>
      <c r="I14" s="13">
        <v>1</v>
      </c>
      <c r="J14" s="12"/>
      <c r="K14" s="12"/>
      <c r="L14" s="12"/>
      <c r="M14" s="12"/>
      <c r="N14" s="13">
        <v>1</v>
      </c>
      <c r="O14" s="12"/>
      <c r="P14" s="10">
        <f t="shared" si="0"/>
        <v>1</v>
      </c>
      <c r="Q14" t="s">
        <v>14</v>
      </c>
      <c r="R14">
        <v>1</v>
      </c>
    </row>
    <row r="15" spans="2:18" ht="15" thickBot="1" x14ac:dyDescent="0.4">
      <c r="B15" s="9" t="s">
        <v>38</v>
      </c>
      <c r="C15" s="13">
        <v>5</v>
      </c>
      <c r="D15" s="13">
        <v>6</v>
      </c>
      <c r="E15" s="13">
        <v>8</v>
      </c>
      <c r="F15" s="13">
        <v>8</v>
      </c>
      <c r="G15" s="13">
        <v>9</v>
      </c>
      <c r="H15" s="13">
        <v>7</v>
      </c>
      <c r="I15" s="13">
        <v>7</v>
      </c>
      <c r="J15" s="13">
        <v>6</v>
      </c>
      <c r="K15" s="13">
        <v>7</v>
      </c>
      <c r="L15" s="13">
        <v>8</v>
      </c>
      <c r="M15" s="13">
        <v>6</v>
      </c>
      <c r="N15" s="13">
        <v>5</v>
      </c>
      <c r="O15" s="13">
        <v>6</v>
      </c>
      <c r="P15" s="11">
        <f>SUMPRODUCT($C$4:$O$4,C15:O15)</f>
        <v>23</v>
      </c>
    </row>
  </sheetData>
  <conditionalFormatting sqref="C4:O4">
    <cfRule type="cellIs" dxfId="1" priority="1" operator="greaterThan">
      <formula>0.5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AB19"/>
  <sheetViews>
    <sheetView tabSelected="1" workbookViewId="0">
      <selection activeCell="Z17" sqref="Z17"/>
    </sheetView>
  </sheetViews>
  <sheetFormatPr defaultColWidth="5.26953125" defaultRowHeight="14.5" x14ac:dyDescent="0.35"/>
  <cols>
    <col min="2" max="2" width="3.81640625" bestFit="1" customWidth="1"/>
    <col min="3" max="11" width="2.81640625" bestFit="1" customWidth="1"/>
    <col min="12" max="12" width="3.81640625" bestFit="1" customWidth="1"/>
    <col min="13" max="13" width="3.81640625" customWidth="1"/>
    <col min="15" max="24" width="5.26953125" style="15"/>
    <col min="26" max="28" width="5.26953125" style="15"/>
  </cols>
  <sheetData>
    <row r="5" spans="2:28" x14ac:dyDescent="0.35">
      <c r="C5" t="s">
        <v>49</v>
      </c>
      <c r="D5" t="s">
        <v>50</v>
      </c>
      <c r="E5" t="s">
        <v>51</v>
      </c>
      <c r="F5" t="s">
        <v>52</v>
      </c>
      <c r="G5" t="s">
        <v>53</v>
      </c>
      <c r="H5" t="s">
        <v>54</v>
      </c>
      <c r="I5" t="s">
        <v>55</v>
      </c>
      <c r="J5" t="s">
        <v>56</v>
      </c>
      <c r="K5" t="s">
        <v>57</v>
      </c>
      <c r="L5" t="s">
        <v>58</v>
      </c>
      <c r="O5" s="15" t="s">
        <v>49</v>
      </c>
      <c r="P5" s="15" t="s">
        <v>50</v>
      </c>
      <c r="Q5" s="15" t="s">
        <v>51</v>
      </c>
      <c r="R5" s="15" t="s">
        <v>52</v>
      </c>
      <c r="S5" s="15" t="s">
        <v>53</v>
      </c>
      <c r="T5" s="15" t="s">
        <v>54</v>
      </c>
      <c r="U5" s="15" t="s">
        <v>55</v>
      </c>
      <c r="V5" s="15" t="s">
        <v>56</v>
      </c>
      <c r="W5" s="15" t="s">
        <v>57</v>
      </c>
      <c r="X5" s="15" t="s">
        <v>58</v>
      </c>
    </row>
    <row r="6" spans="2:28" x14ac:dyDescent="0.35">
      <c r="B6" t="s">
        <v>39</v>
      </c>
      <c r="C6">
        <v>1</v>
      </c>
      <c r="D6">
        <v>1</v>
      </c>
      <c r="E6">
        <v>1</v>
      </c>
      <c r="F6">
        <v>3</v>
      </c>
      <c r="G6">
        <v>5</v>
      </c>
      <c r="H6">
        <v>3</v>
      </c>
      <c r="I6">
        <v>5</v>
      </c>
      <c r="J6">
        <v>1</v>
      </c>
      <c r="K6">
        <v>1</v>
      </c>
      <c r="L6">
        <v>2</v>
      </c>
      <c r="N6" t="s">
        <v>39</v>
      </c>
      <c r="O6" s="16">
        <v>0</v>
      </c>
      <c r="P6" s="16">
        <v>0</v>
      </c>
      <c r="Q6" s="16">
        <v>1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Z6" s="17">
        <f>SUM(O6:X6)</f>
        <v>1</v>
      </c>
      <c r="AA6" s="15" t="s">
        <v>59</v>
      </c>
      <c r="AB6" s="15">
        <v>1</v>
      </c>
    </row>
    <row r="7" spans="2:28" x14ac:dyDescent="0.35">
      <c r="B7" t="s">
        <v>40</v>
      </c>
      <c r="C7">
        <v>3</v>
      </c>
      <c r="D7">
        <v>2</v>
      </c>
      <c r="E7">
        <v>2</v>
      </c>
      <c r="F7">
        <v>7</v>
      </c>
      <c r="G7">
        <v>9</v>
      </c>
      <c r="H7">
        <v>9</v>
      </c>
      <c r="I7">
        <v>6</v>
      </c>
      <c r="J7">
        <v>2</v>
      </c>
      <c r="K7">
        <v>3</v>
      </c>
      <c r="L7">
        <v>1</v>
      </c>
      <c r="N7" t="s">
        <v>40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1</v>
      </c>
      <c r="Z7" s="17">
        <f t="shared" ref="Z7:Z15" si="0">SUM(O7:X7)</f>
        <v>1</v>
      </c>
      <c r="AA7" s="15" t="s">
        <v>59</v>
      </c>
      <c r="AB7" s="15">
        <v>1</v>
      </c>
    </row>
    <row r="8" spans="2:28" x14ac:dyDescent="0.35">
      <c r="B8" t="s">
        <v>41</v>
      </c>
      <c r="C8">
        <v>2</v>
      </c>
      <c r="D8">
        <v>10</v>
      </c>
      <c r="E8">
        <v>3</v>
      </c>
      <c r="F8">
        <v>1</v>
      </c>
      <c r="G8">
        <v>3</v>
      </c>
      <c r="H8">
        <v>2</v>
      </c>
      <c r="I8">
        <v>7</v>
      </c>
      <c r="J8">
        <v>4</v>
      </c>
      <c r="K8">
        <v>2</v>
      </c>
      <c r="L8">
        <v>3</v>
      </c>
      <c r="N8" t="s">
        <v>41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1</v>
      </c>
      <c r="X8" s="16">
        <v>0</v>
      </c>
      <c r="Z8" s="17">
        <f t="shared" si="0"/>
        <v>1</v>
      </c>
      <c r="AA8" s="15" t="s">
        <v>59</v>
      </c>
      <c r="AB8" s="15">
        <v>1</v>
      </c>
    </row>
    <row r="9" spans="2:28" x14ac:dyDescent="0.35">
      <c r="B9" t="s">
        <v>42</v>
      </c>
      <c r="C9">
        <v>8</v>
      </c>
      <c r="D9">
        <v>4</v>
      </c>
      <c r="E9">
        <v>4</v>
      </c>
      <c r="F9">
        <v>4</v>
      </c>
      <c r="G9">
        <v>6</v>
      </c>
      <c r="H9">
        <v>7</v>
      </c>
      <c r="I9">
        <v>1</v>
      </c>
      <c r="J9">
        <v>5</v>
      </c>
      <c r="K9">
        <v>4</v>
      </c>
      <c r="L9">
        <v>5</v>
      </c>
      <c r="N9" t="s">
        <v>42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1</v>
      </c>
      <c r="V9" s="16">
        <v>0</v>
      </c>
      <c r="W9" s="16">
        <v>0</v>
      </c>
      <c r="X9" s="16">
        <v>0</v>
      </c>
      <c r="Z9" s="17">
        <f t="shared" si="0"/>
        <v>1</v>
      </c>
      <c r="AA9" s="15" t="s">
        <v>59</v>
      </c>
      <c r="AB9" s="15">
        <v>1</v>
      </c>
    </row>
    <row r="10" spans="2:28" x14ac:dyDescent="0.35">
      <c r="B10" t="s">
        <v>43</v>
      </c>
      <c r="C10">
        <v>9</v>
      </c>
      <c r="D10">
        <v>5</v>
      </c>
      <c r="E10">
        <v>5</v>
      </c>
      <c r="F10">
        <v>2</v>
      </c>
      <c r="G10">
        <v>4</v>
      </c>
      <c r="H10">
        <v>6</v>
      </c>
      <c r="I10">
        <v>2</v>
      </c>
      <c r="J10">
        <v>9</v>
      </c>
      <c r="K10">
        <v>5</v>
      </c>
      <c r="L10">
        <v>4</v>
      </c>
      <c r="N10" t="s">
        <v>43</v>
      </c>
      <c r="O10" s="16">
        <v>0</v>
      </c>
      <c r="P10" s="16">
        <v>0</v>
      </c>
      <c r="Q10" s="16">
        <v>0</v>
      </c>
      <c r="R10" s="16">
        <v>1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Z10" s="17">
        <f t="shared" si="0"/>
        <v>1</v>
      </c>
      <c r="AA10" s="15" t="s">
        <v>59</v>
      </c>
      <c r="AB10" s="15">
        <v>1</v>
      </c>
    </row>
    <row r="11" spans="2:28" x14ac:dyDescent="0.35">
      <c r="B11" t="s">
        <v>44</v>
      </c>
      <c r="C11">
        <v>4</v>
      </c>
      <c r="D11">
        <v>3</v>
      </c>
      <c r="E11">
        <v>6</v>
      </c>
      <c r="F11">
        <v>5</v>
      </c>
      <c r="G11">
        <v>7</v>
      </c>
      <c r="H11">
        <v>5</v>
      </c>
      <c r="I11">
        <v>3</v>
      </c>
      <c r="J11">
        <v>10</v>
      </c>
      <c r="K11">
        <v>6</v>
      </c>
      <c r="L11">
        <v>8</v>
      </c>
      <c r="N11" t="s">
        <v>44</v>
      </c>
      <c r="O11" s="16">
        <v>0</v>
      </c>
      <c r="P11" s="16">
        <v>1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Z11" s="17">
        <f t="shared" si="0"/>
        <v>1</v>
      </c>
      <c r="AA11" s="15" t="s">
        <v>59</v>
      </c>
      <c r="AB11" s="15">
        <v>1</v>
      </c>
    </row>
    <row r="12" spans="2:28" x14ac:dyDescent="0.35">
      <c r="B12" t="s">
        <v>45</v>
      </c>
      <c r="C12">
        <v>5</v>
      </c>
      <c r="D12">
        <v>6</v>
      </c>
      <c r="E12">
        <v>7</v>
      </c>
      <c r="F12">
        <v>8</v>
      </c>
      <c r="G12">
        <v>10</v>
      </c>
      <c r="H12">
        <v>4</v>
      </c>
      <c r="I12">
        <v>8</v>
      </c>
      <c r="J12">
        <v>6</v>
      </c>
      <c r="K12">
        <v>10</v>
      </c>
      <c r="L12">
        <v>7</v>
      </c>
      <c r="N12" t="s">
        <v>45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1</v>
      </c>
      <c r="W12" s="16">
        <v>0</v>
      </c>
      <c r="X12" s="16">
        <v>0</v>
      </c>
      <c r="Z12" s="17">
        <f t="shared" si="0"/>
        <v>1</v>
      </c>
      <c r="AA12" s="15" t="s">
        <v>59</v>
      </c>
      <c r="AB12" s="15">
        <v>1</v>
      </c>
    </row>
    <row r="13" spans="2:28" x14ac:dyDescent="0.35">
      <c r="B13" t="s">
        <v>46</v>
      </c>
      <c r="C13">
        <v>7</v>
      </c>
      <c r="D13">
        <v>7</v>
      </c>
      <c r="E13">
        <v>8</v>
      </c>
      <c r="F13">
        <v>9</v>
      </c>
      <c r="G13">
        <v>1</v>
      </c>
      <c r="H13">
        <v>10</v>
      </c>
      <c r="I13">
        <v>9</v>
      </c>
      <c r="J13">
        <v>8</v>
      </c>
      <c r="K13">
        <v>9</v>
      </c>
      <c r="L13">
        <v>6</v>
      </c>
      <c r="N13" t="s">
        <v>46</v>
      </c>
      <c r="O13" s="16">
        <v>0</v>
      </c>
      <c r="P13" s="16">
        <v>0</v>
      </c>
      <c r="Q13" s="16">
        <v>0</v>
      </c>
      <c r="R13" s="16">
        <v>0</v>
      </c>
      <c r="S13" s="16">
        <v>1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Z13" s="17">
        <f t="shared" si="0"/>
        <v>1</v>
      </c>
      <c r="AA13" s="15" t="s">
        <v>59</v>
      </c>
      <c r="AB13" s="15">
        <v>1</v>
      </c>
    </row>
    <row r="14" spans="2:28" x14ac:dyDescent="0.35">
      <c r="B14" t="s">
        <v>47</v>
      </c>
      <c r="C14">
        <v>6</v>
      </c>
      <c r="D14">
        <v>8</v>
      </c>
      <c r="E14">
        <v>9</v>
      </c>
      <c r="F14">
        <v>10</v>
      </c>
      <c r="G14">
        <v>2</v>
      </c>
      <c r="H14">
        <v>8</v>
      </c>
      <c r="I14">
        <v>10</v>
      </c>
      <c r="J14">
        <v>7</v>
      </c>
      <c r="K14">
        <v>7</v>
      </c>
      <c r="L14">
        <v>10</v>
      </c>
      <c r="N14" t="s">
        <v>47</v>
      </c>
      <c r="O14" s="16">
        <v>1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Z14" s="17">
        <f t="shared" si="0"/>
        <v>1</v>
      </c>
      <c r="AA14" s="15" t="s">
        <v>59</v>
      </c>
      <c r="AB14" s="15">
        <v>1</v>
      </c>
    </row>
    <row r="15" spans="2:28" x14ac:dyDescent="0.35">
      <c r="B15" t="s">
        <v>48</v>
      </c>
      <c r="C15">
        <v>10</v>
      </c>
      <c r="D15">
        <v>9</v>
      </c>
      <c r="E15">
        <v>10</v>
      </c>
      <c r="F15">
        <v>6</v>
      </c>
      <c r="G15">
        <v>8</v>
      </c>
      <c r="H15">
        <v>1</v>
      </c>
      <c r="I15">
        <v>4</v>
      </c>
      <c r="J15">
        <v>3</v>
      </c>
      <c r="K15">
        <v>8</v>
      </c>
      <c r="L15">
        <v>9</v>
      </c>
      <c r="N15" t="s">
        <v>48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1</v>
      </c>
      <c r="U15" s="16">
        <v>0</v>
      </c>
      <c r="V15" s="16">
        <v>0</v>
      </c>
      <c r="W15" s="16">
        <v>0</v>
      </c>
      <c r="X15" s="16">
        <v>0</v>
      </c>
      <c r="Z15" s="17">
        <f t="shared" si="0"/>
        <v>1</v>
      </c>
      <c r="AA15" s="15" t="s">
        <v>59</v>
      </c>
      <c r="AB15" s="15">
        <v>1</v>
      </c>
    </row>
    <row r="17" spans="15:26" x14ac:dyDescent="0.35">
      <c r="O17" s="17">
        <f>SUM(O6:O15)</f>
        <v>1</v>
      </c>
      <c r="P17" s="17">
        <f t="shared" ref="P17:X17" si="1">SUM(P6:P15)</f>
        <v>1</v>
      </c>
      <c r="Q17" s="17">
        <f t="shared" si="1"/>
        <v>1</v>
      </c>
      <c r="R17" s="17">
        <f t="shared" si="1"/>
        <v>1</v>
      </c>
      <c r="S17" s="17">
        <f t="shared" si="1"/>
        <v>1</v>
      </c>
      <c r="T17" s="17">
        <f t="shared" si="1"/>
        <v>1</v>
      </c>
      <c r="U17" s="17">
        <f t="shared" si="1"/>
        <v>1</v>
      </c>
      <c r="V17" s="17">
        <f t="shared" si="1"/>
        <v>1</v>
      </c>
      <c r="W17" s="17">
        <f t="shared" si="1"/>
        <v>1</v>
      </c>
      <c r="X17" s="17">
        <f t="shared" si="1"/>
        <v>1</v>
      </c>
      <c r="Z17" s="18">
        <f>SUMPRODUCT(C6:L15,O6:X15)</f>
        <v>24</v>
      </c>
    </row>
    <row r="18" spans="15:26" x14ac:dyDescent="0.35">
      <c r="O18" s="15" t="s">
        <v>59</v>
      </c>
      <c r="P18" s="15" t="s">
        <v>59</v>
      </c>
      <c r="Q18" s="15" t="s">
        <v>59</v>
      </c>
      <c r="R18" s="15" t="s">
        <v>59</v>
      </c>
      <c r="S18" s="15" t="s">
        <v>59</v>
      </c>
      <c r="T18" s="15" t="s">
        <v>59</v>
      </c>
      <c r="U18" s="15" t="s">
        <v>59</v>
      </c>
      <c r="V18" s="15" t="s">
        <v>59</v>
      </c>
      <c r="W18" s="15" t="s">
        <v>59</v>
      </c>
      <c r="X18" s="15" t="s">
        <v>59</v>
      </c>
    </row>
    <row r="19" spans="15:26" x14ac:dyDescent="0.35">
      <c r="O19" s="15">
        <v>1</v>
      </c>
      <c r="P19" s="15">
        <v>1</v>
      </c>
      <c r="Q19" s="15">
        <v>1</v>
      </c>
      <c r="R19" s="15">
        <v>1</v>
      </c>
      <c r="S19" s="15">
        <v>1</v>
      </c>
      <c r="T19" s="15">
        <v>1</v>
      </c>
      <c r="U19" s="15">
        <v>1</v>
      </c>
      <c r="V19" s="15">
        <v>1</v>
      </c>
      <c r="W19" s="15">
        <v>1</v>
      </c>
      <c r="X19" s="15">
        <v>1</v>
      </c>
    </row>
  </sheetData>
  <conditionalFormatting sqref="O6:X15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2_1</vt:lpstr>
      <vt:lpstr>2_5</vt:lpstr>
      <vt:lpstr>4_2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</dc:creator>
  <cp:lastModifiedBy>Filipe</cp:lastModifiedBy>
  <dcterms:created xsi:type="dcterms:W3CDTF">2024-02-22T13:16:50Z</dcterms:created>
  <dcterms:modified xsi:type="dcterms:W3CDTF">2024-02-22T14:59:48Z</dcterms:modified>
</cp:coreProperties>
</file>