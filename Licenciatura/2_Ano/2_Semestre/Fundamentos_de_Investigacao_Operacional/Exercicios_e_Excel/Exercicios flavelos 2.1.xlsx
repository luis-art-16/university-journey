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p\OneDrive\Ambiente de Trabalho\IO\Exercicios\"/>
    </mc:Choice>
  </mc:AlternateContent>
  <xr:revisionPtr revIDLastSave="0" documentId="13_ncr:1_{998CE441-9FF8-43CD-9426-3AD93ADEF229}" xr6:coauthVersionLast="47" xr6:coauthVersionMax="47" xr10:uidLastSave="{00000000-0000-0000-0000-000000000000}"/>
  <bookViews>
    <workbookView xWindow="-108" yWindow="-108" windowWidth="23256" windowHeight="12456" activeTab="2" xr2:uid="{6AB2C901-0C03-4734-9B57-98D7EA9B3E9B}"/>
  </bookViews>
  <sheets>
    <sheet name="Folha1" sheetId="1" r:id="rId1"/>
    <sheet name="Folha3" sheetId="3" r:id="rId2"/>
    <sheet name="Folha2" sheetId="2" r:id="rId3"/>
  </sheets>
  <definedNames>
    <definedName name="solver_adj" localSheetId="0" hidden="1">Folha1!$L$4:$X$4</definedName>
    <definedName name="solver_adj" localSheetId="2" hidden="1">Folha2!$N$4:$W$13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2</definedName>
    <definedName name="solver_eng" localSheetId="0" hidden="1">2</definedName>
    <definedName name="solver_eng" localSheetId="2" hidden="1">2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Folha1!$L$4:$X$4</definedName>
    <definedName name="solver_lhs1" localSheetId="2" hidden="1">Folha2!$N$15:$W$15</definedName>
    <definedName name="solver_lhs2" localSheetId="0" hidden="1">Folha1!$Y$5:$Y$14</definedName>
    <definedName name="solver_lhs2" localSheetId="2" hidden="1">Folha2!$Y$4:$Y$13</definedName>
    <definedName name="solver_lhs3" localSheetId="0" hidden="1">Folha1!$Y$5:$Y$14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2</definedName>
    <definedName name="solver_num" localSheetId="2" hidden="1">2</definedName>
    <definedName name="solver_nwt" localSheetId="0" hidden="1">1</definedName>
    <definedName name="solver_nwt" localSheetId="2" hidden="1">1</definedName>
    <definedName name="solver_opt" localSheetId="0" hidden="1">Folha1!#REF!</definedName>
    <definedName name="solver_opt" localSheetId="2" hidden="1">Folha2!$Y$15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2</definedName>
    <definedName name="solver_rel1" localSheetId="0" hidden="1">5</definedName>
    <definedName name="solver_rel1" localSheetId="2" hidden="1">2</definedName>
    <definedName name="solver_rel2" localSheetId="0" hidden="1">1</definedName>
    <definedName name="solver_rel2" localSheetId="2" hidden="1">2</definedName>
    <definedName name="solver_rel3" localSheetId="0" hidden="1">1</definedName>
    <definedName name="solver_rhs1" localSheetId="0" hidden="1">"binário"</definedName>
    <definedName name="solver_rhs1" localSheetId="2" hidden="1">Folha2!$N$17:$W$17</definedName>
    <definedName name="solver_rhs2" localSheetId="0" hidden="1">Folha1!$AB$5:$AB$14</definedName>
    <definedName name="solver_rhs2" localSheetId="2" hidden="1">Folha2!$AA$4:$AA$13</definedName>
    <definedName name="solver_rhs3" localSheetId="0" hidden="1">Folha1!$AB$5:$AB$14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2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1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2" l="1"/>
  <c r="O15" i="2"/>
  <c r="P15" i="2"/>
  <c r="Q15" i="2"/>
  <c r="R15" i="2"/>
  <c r="S15" i="2"/>
  <c r="T15" i="2"/>
  <c r="U15" i="2"/>
  <c r="V15" i="2"/>
  <c r="W15" i="2"/>
  <c r="N15" i="2"/>
  <c r="Y5" i="2"/>
  <c r="Y6" i="2"/>
  <c r="Y7" i="2"/>
  <c r="Y8" i="2"/>
  <c r="Y9" i="2"/>
  <c r="Y10" i="2"/>
  <c r="Y11" i="2"/>
  <c r="Y12" i="2"/>
  <c r="Y13" i="2"/>
  <c r="Y4" i="2"/>
  <c r="P14" i="3"/>
  <c r="P13" i="3"/>
  <c r="P12" i="3"/>
  <c r="P11" i="3"/>
  <c r="P10" i="3"/>
  <c r="P9" i="3"/>
  <c r="P8" i="3"/>
  <c r="P7" i="3"/>
  <c r="P6" i="3"/>
  <c r="P5" i="3"/>
  <c r="F8" i="1"/>
  <c r="F9" i="1"/>
  <c r="F6" i="1"/>
  <c r="F7" i="1"/>
  <c r="F5" i="1"/>
</calcChain>
</file>

<file path=xl/sharedStrings.xml><?xml version="1.0" encoding="utf-8"?>
<sst xmlns="http://schemas.openxmlformats.org/spreadsheetml/2006/main" count="113" uniqueCount="65">
  <si>
    <t>P1</t>
  </si>
  <si>
    <t>P2</t>
  </si>
  <si>
    <t>P3</t>
  </si>
  <si>
    <t>Disponibilidade</t>
  </si>
  <si>
    <t>Recursos</t>
  </si>
  <si>
    <t>Produtos</t>
  </si>
  <si>
    <t>M1</t>
  </si>
  <si>
    <t>h</t>
  </si>
  <si>
    <t>m</t>
  </si>
  <si>
    <t>Kg</t>
  </si>
  <si>
    <t>M2</t>
  </si>
  <si>
    <t>MP2</t>
  </si>
  <si>
    <t>Lucro</t>
  </si>
  <si>
    <t>Exemplo 2.1</t>
  </si>
  <si>
    <t>MP1</t>
  </si>
  <si>
    <t>Exercicio 2.5</t>
  </si>
  <si>
    <t>Missões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</si>
  <si>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</si>
  <si>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</si>
  <si>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</si>
  <si>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</si>
  <si>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</si>
  <si>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</si>
  <si>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</si>
  <si>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</si>
  <si>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</si>
  <si>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</si>
  <si>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</si>
  <si>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</si>
  <si>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</si>
  <si>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</si>
  <si>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</si>
  <si>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</si>
  <si>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</si>
  <si>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</si>
  <si>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</si>
  <si>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</si>
  <si>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</si>
  <si>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</si>
  <si>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</si>
  <si>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Pessoas</t>
  </si>
  <si>
    <t>&lt;=</t>
  </si>
  <si>
    <t xml:space="preserve">       Exercicio 4.2 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</si>
  <si>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</si>
  <si>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</si>
  <si>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</si>
  <si>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</si>
  <si>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</si>
  <si>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</si>
  <si>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</si>
  <si>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</si>
  <si>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</si>
  <si>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</si>
  <si>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</si>
  <si>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</si>
  <si>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</si>
  <si>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</si>
  <si>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</si>
  <si>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</si>
  <si>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</si>
  <si>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</si>
  <si>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</si>
  <si>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</si>
  <si>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 xml:space="preserve"> '=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</si>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</sst>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6" borderId="0" xfId="0" applyFill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C04D-52A8-46C0-BA79-CACE35A75D91}">
  <dimension ref="A1:Y14"/>
  <sheetViews>
    <sheetView zoomScale="87" workbookViewId="0">
      <selection activeCell="I16" sqref="I16"/>
    </sheetView>
  </sheetViews>
  <sheetFormatPr defaultRowHeight="14.4" x14ac:dyDescent="0.3"/>
  <sheetData>
    <row r="1" spans="1:25" x14ac:dyDescent="0.3">
      <c r="A1" t="s">
        <v>13</v>
      </c>
    </row>
    <row r="3" spans="1:25" x14ac:dyDescent="0.3">
      <c r="B3" t="s">
        <v>5</v>
      </c>
      <c r="C3" t="s">
        <v>0</v>
      </c>
      <c r="D3" t="s">
        <v>1</v>
      </c>
      <c r="E3" t="s">
        <v>2</v>
      </c>
      <c r="F3" t="s">
        <v>3</v>
      </c>
    </row>
    <row r="4" spans="1:25" x14ac:dyDescent="0.3">
      <c r="C4" s="1">
        <v>7.163636363636364</v>
      </c>
      <c r="D4" s="1">
        <v>0</v>
      </c>
      <c r="E4" s="1">
        <v>1.3454545454545457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5" x14ac:dyDescent="0.3">
      <c r="A5" t="s">
        <v>4</v>
      </c>
      <c r="B5" t="s">
        <v>6</v>
      </c>
      <c r="C5">
        <v>10</v>
      </c>
      <c r="D5">
        <v>20</v>
      </c>
      <c r="E5">
        <v>30</v>
      </c>
      <c r="F5" s="2">
        <f>SUMPRODUCT(C5:E5,$C$4:$E$4)</f>
        <v>112.00000000000001</v>
      </c>
      <c r="G5" s="4">
        <v>112</v>
      </c>
      <c r="H5" t="s">
        <v>7</v>
      </c>
      <c r="Y5" s="7"/>
    </row>
    <row r="6" spans="1:25" x14ac:dyDescent="0.3">
      <c r="B6" t="s">
        <v>10</v>
      </c>
      <c r="C6">
        <v>9</v>
      </c>
      <c r="D6">
        <v>3</v>
      </c>
      <c r="E6">
        <v>5</v>
      </c>
      <c r="F6" s="2">
        <f t="shared" ref="F6:F8" si="0">SUMPRODUCT(C6:E6,$C$4:$E$4)</f>
        <v>71.2</v>
      </c>
      <c r="G6" s="4">
        <v>80</v>
      </c>
      <c r="H6" t="s">
        <v>7</v>
      </c>
      <c r="Y6" s="7"/>
    </row>
    <row r="7" spans="1:25" x14ac:dyDescent="0.3">
      <c r="B7" t="s">
        <v>14</v>
      </c>
      <c r="C7">
        <v>4</v>
      </c>
      <c r="D7">
        <v>3</v>
      </c>
      <c r="E7">
        <v>1</v>
      </c>
      <c r="F7" s="2">
        <f t="shared" si="0"/>
        <v>30</v>
      </c>
      <c r="G7" s="4">
        <v>30</v>
      </c>
      <c r="H7" t="s">
        <v>8</v>
      </c>
      <c r="Y7" s="7"/>
    </row>
    <row r="8" spans="1:25" x14ac:dyDescent="0.3">
      <c r="B8" t="s">
        <v>11</v>
      </c>
      <c r="C8">
        <v>34</v>
      </c>
      <c r="D8">
        <v>35</v>
      </c>
      <c r="E8">
        <v>17</v>
      </c>
      <c r="F8" s="2">
        <f>SUMPRODUCT(C8:E8,$C$4:$E$4)</f>
        <v>266.43636363636364</v>
      </c>
      <c r="G8" s="4">
        <v>300</v>
      </c>
      <c r="H8" t="s">
        <v>9</v>
      </c>
      <c r="Y8" s="7"/>
    </row>
    <row r="9" spans="1:25" x14ac:dyDescent="0.3">
      <c r="B9" t="s">
        <v>12</v>
      </c>
      <c r="C9">
        <v>25</v>
      </c>
      <c r="D9">
        <v>27</v>
      </c>
      <c r="E9">
        <v>33</v>
      </c>
      <c r="F9" s="3">
        <f>SUMPRODUCT(C9:E9,$C$4:$E$4)</f>
        <v>223.4909090909091</v>
      </c>
      <c r="Y9" s="7"/>
    </row>
    <row r="10" spans="1:25" x14ac:dyDescent="0.3">
      <c r="Y10" s="7"/>
    </row>
    <row r="11" spans="1:25" x14ac:dyDescent="0.3">
      <c r="Y11" s="7"/>
    </row>
    <row r="12" spans="1:25" x14ac:dyDescent="0.3">
      <c r="Y12" s="7"/>
    </row>
    <row r="13" spans="1:25" x14ac:dyDescent="0.3">
      <c r="Y13" s="7"/>
    </row>
    <row r="14" spans="1:25" x14ac:dyDescent="0.3">
      <c r="Y14" s="7"/>
    </row>
  </sheetData>
  <conditionalFormatting sqref="L4:X4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976E-04EB-4834-9CAF-49313E292956}">
  <dimension ref="A1:S14"/>
  <sheetViews>
    <sheetView workbookViewId="0">
      <selection activeCell="E23" sqref="E23"/>
    </sheetView>
  </sheetViews>
  <sheetFormatPr defaultRowHeight="14.4" x14ac:dyDescent="0.3"/>
  <sheetData>
    <row r="1" spans="1:19" x14ac:dyDescent="0.3">
      <c r="B1" t="s">
        <v>15</v>
      </c>
    </row>
    <row r="3" spans="1:19" x14ac:dyDescent="0.3"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9" x14ac:dyDescent="0.3"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0</v>
      </c>
    </row>
    <row r="5" spans="1:19" x14ac:dyDescent="0.3">
      <c r="A5" t="s">
        <v>40</v>
      </c>
      <c r="B5" t="s">
        <v>30</v>
      </c>
      <c r="I5">
        <v>1</v>
      </c>
      <c r="K5">
        <v>1</v>
      </c>
      <c r="L5">
        <v>1</v>
      </c>
      <c r="O5">
        <v>1</v>
      </c>
      <c r="P5" s="5">
        <f>SUMPRODUCT($L$4:$X$4,C5:O5)</f>
        <v>0</v>
      </c>
      <c r="R5" t="s">
        <v>41</v>
      </c>
      <c r="S5">
        <v>1</v>
      </c>
    </row>
    <row r="6" spans="1:19" x14ac:dyDescent="0.3">
      <c r="B6" t="s">
        <v>31</v>
      </c>
      <c r="D6">
        <v>1</v>
      </c>
      <c r="J6">
        <v>1</v>
      </c>
      <c r="K6">
        <v>1</v>
      </c>
      <c r="O6">
        <v>1</v>
      </c>
      <c r="P6" s="5">
        <f t="shared" ref="P6:P13" si="0">SUMPRODUCT($L$4:$X$4,C6:O6)</f>
        <v>1</v>
      </c>
      <c r="R6" t="s">
        <v>41</v>
      </c>
      <c r="S6">
        <v>1</v>
      </c>
    </row>
    <row r="7" spans="1:19" x14ac:dyDescent="0.3">
      <c r="B7" t="s">
        <v>32</v>
      </c>
      <c r="E7">
        <v>1</v>
      </c>
      <c r="K7">
        <v>1</v>
      </c>
      <c r="L7">
        <v>1</v>
      </c>
      <c r="N7">
        <v>1</v>
      </c>
      <c r="P7" s="5">
        <f t="shared" si="0"/>
        <v>0</v>
      </c>
      <c r="R7" t="s">
        <v>41</v>
      </c>
      <c r="S7">
        <v>1</v>
      </c>
    </row>
    <row r="8" spans="1:19" x14ac:dyDescent="0.3">
      <c r="B8" t="s">
        <v>33</v>
      </c>
      <c r="F8">
        <v>1</v>
      </c>
      <c r="G8">
        <v>1</v>
      </c>
      <c r="J8">
        <v>1</v>
      </c>
      <c r="K8">
        <v>1</v>
      </c>
      <c r="P8" s="5">
        <f t="shared" si="0"/>
        <v>0</v>
      </c>
      <c r="R8" t="s">
        <v>41</v>
      </c>
      <c r="S8">
        <v>1</v>
      </c>
    </row>
    <row r="9" spans="1:19" x14ac:dyDescent="0.3">
      <c r="B9" t="s">
        <v>34</v>
      </c>
      <c r="E9">
        <v>1</v>
      </c>
      <c r="H9">
        <v>1</v>
      </c>
      <c r="J9">
        <v>1</v>
      </c>
      <c r="M9">
        <v>1</v>
      </c>
      <c r="P9" s="5">
        <f t="shared" si="0"/>
        <v>0</v>
      </c>
      <c r="R9" t="s">
        <v>41</v>
      </c>
      <c r="S9">
        <v>1</v>
      </c>
    </row>
    <row r="10" spans="1:19" x14ac:dyDescent="0.3">
      <c r="B10" t="s">
        <v>35</v>
      </c>
      <c r="E10">
        <v>1</v>
      </c>
      <c r="H10">
        <v>1</v>
      </c>
      <c r="I10">
        <v>1</v>
      </c>
      <c r="L10">
        <v>1</v>
      </c>
      <c r="P10" s="5">
        <f t="shared" si="0"/>
        <v>0</v>
      </c>
      <c r="R10" t="s">
        <v>41</v>
      </c>
      <c r="S10">
        <v>1</v>
      </c>
    </row>
    <row r="11" spans="1:19" x14ac:dyDescent="0.3">
      <c r="B11" t="s">
        <v>36</v>
      </c>
      <c r="D11">
        <v>1</v>
      </c>
      <c r="F11">
        <v>1</v>
      </c>
      <c r="G11">
        <v>1</v>
      </c>
      <c r="N11">
        <v>1</v>
      </c>
      <c r="P11" s="5">
        <f t="shared" si="0"/>
        <v>1</v>
      </c>
      <c r="R11" t="s">
        <v>41</v>
      </c>
      <c r="S11">
        <v>1</v>
      </c>
    </row>
    <row r="12" spans="1:19" x14ac:dyDescent="0.3">
      <c r="B12" t="s">
        <v>37</v>
      </c>
      <c r="F12">
        <v>1</v>
      </c>
      <c r="G12">
        <v>1</v>
      </c>
      <c r="H12">
        <v>1</v>
      </c>
      <c r="O12">
        <v>1</v>
      </c>
      <c r="P12" s="5">
        <f t="shared" si="0"/>
        <v>0</v>
      </c>
      <c r="R12" t="s">
        <v>41</v>
      </c>
      <c r="S12">
        <v>1</v>
      </c>
    </row>
    <row r="13" spans="1:19" x14ac:dyDescent="0.3">
      <c r="B13" t="s">
        <v>38</v>
      </c>
      <c r="C13">
        <v>1</v>
      </c>
      <c r="D13">
        <v>1</v>
      </c>
      <c r="F13">
        <v>1</v>
      </c>
      <c r="M13">
        <v>1</v>
      </c>
      <c r="P13" s="5">
        <f t="shared" si="0"/>
        <v>2</v>
      </c>
      <c r="R13" t="s">
        <v>41</v>
      </c>
      <c r="S13">
        <v>1</v>
      </c>
    </row>
    <row r="14" spans="1:19" x14ac:dyDescent="0.3">
      <c r="B14" t="s">
        <v>39</v>
      </c>
      <c r="C14">
        <v>1</v>
      </c>
      <c r="G14">
        <v>1</v>
      </c>
      <c r="I14">
        <v>1</v>
      </c>
      <c r="N14">
        <v>1</v>
      </c>
      <c r="P14" s="5">
        <f>SUMPRODUCT($L$4:$X$4,C14:O14)</f>
        <v>1</v>
      </c>
      <c r="R14" t="s">
        <v>41</v>
      </c>
      <c r="S14">
        <v>1</v>
      </c>
    </row>
  </sheetData>
  <conditionalFormatting sqref="C4:O4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AF58-35EA-4C4E-BD40-FBCB0EFC96BA}">
  <dimension ref="A1:AA27"/>
  <sheetViews>
    <sheetView tabSelected="1" zoomScale="80" workbookViewId="0">
      <selection activeCell="T20" sqref="T20"/>
    </sheetView>
  </sheetViews>
  <sheetFormatPr defaultRowHeight="14.4" x14ac:dyDescent="0.3"/>
  <cols>
    <col min="25" max="25" width="5.109375" customWidth="1"/>
  </cols>
  <sheetData>
    <row r="1" spans="1:27" x14ac:dyDescent="0.3">
      <c r="A1" t="s">
        <v>42</v>
      </c>
    </row>
    <row r="2" spans="1:27" x14ac:dyDescent="0.3"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</row>
    <row r="3" spans="1:27" x14ac:dyDescent="0.3">
      <c r="B3" s="7"/>
      <c r="C3" s="7"/>
      <c r="D3" s="7"/>
      <c r="E3" s="7"/>
      <c r="F3" s="7"/>
      <c r="G3" s="7"/>
      <c r="H3" s="7"/>
      <c r="I3" s="7"/>
      <c r="J3" s="7"/>
      <c r="K3" s="7"/>
      <c r="M3" s="8"/>
      <c r="N3" s="8" t="s">
        <v>43</v>
      </c>
      <c r="O3" s="8" t="s">
        <v>44</v>
      </c>
      <c r="P3" s="8" t="s">
        <v>45</v>
      </c>
      <c r="Q3" s="8" t="s">
        <v>46</v>
      </c>
      <c r="R3" s="8" t="s">
        <v>47</v>
      </c>
      <c r="S3" s="8" t="s">
        <v>48</v>
      </c>
      <c r="T3" s="8" t="s">
        <v>49</v>
      </c>
      <c r="U3" s="8" t="s">
        <v>50</v>
      </c>
      <c r="V3" s="8" t="s">
        <v>51</v>
      </c>
      <c r="W3" s="8" t="s">
        <v>52</v>
      </c>
      <c r="X3" s="12"/>
      <c r="Y3" s="8"/>
      <c r="Z3" s="8"/>
      <c r="AA3" s="8"/>
    </row>
    <row r="4" spans="1:27" x14ac:dyDescent="0.3">
      <c r="A4" t="s">
        <v>53</v>
      </c>
      <c r="B4" s="8">
        <v>1</v>
      </c>
      <c r="C4" s="8">
        <v>1</v>
      </c>
      <c r="D4" s="8">
        <v>1</v>
      </c>
      <c r="E4" s="8">
        <v>3</v>
      </c>
      <c r="F4" s="8">
        <v>5</v>
      </c>
      <c r="G4" s="8">
        <v>3</v>
      </c>
      <c r="H4" s="8">
        <v>5</v>
      </c>
      <c r="I4" s="8">
        <v>1</v>
      </c>
      <c r="J4" s="8">
        <v>1</v>
      </c>
      <c r="K4" s="8">
        <v>2</v>
      </c>
      <c r="M4" s="8" t="s">
        <v>53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12"/>
      <c r="Y4" s="5">
        <f>SUMPRODUCT(N4:W4)</f>
        <v>1</v>
      </c>
      <c r="Z4" s="8" t="s">
        <v>63</v>
      </c>
      <c r="AA4" s="8">
        <v>1</v>
      </c>
    </row>
    <row r="5" spans="1:27" x14ac:dyDescent="0.3">
      <c r="A5" t="s">
        <v>54</v>
      </c>
      <c r="B5" s="8">
        <v>3</v>
      </c>
      <c r="C5" s="8">
        <v>2</v>
      </c>
      <c r="D5" s="8">
        <v>2</v>
      </c>
      <c r="E5" s="8">
        <v>7</v>
      </c>
      <c r="F5" s="8">
        <v>9</v>
      </c>
      <c r="G5" s="8">
        <v>9</v>
      </c>
      <c r="H5" s="8">
        <v>6</v>
      </c>
      <c r="I5" s="8">
        <v>2</v>
      </c>
      <c r="J5" s="8">
        <v>3</v>
      </c>
      <c r="K5" s="8">
        <v>1</v>
      </c>
      <c r="M5" s="8" t="s">
        <v>54</v>
      </c>
      <c r="N5" s="9">
        <v>0</v>
      </c>
      <c r="O5" s="9">
        <v>0</v>
      </c>
      <c r="P5" s="9">
        <v>0</v>
      </c>
      <c r="Q5" s="9">
        <v>0</v>
      </c>
      <c r="R5" s="9">
        <v>1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12"/>
      <c r="Y5" s="5">
        <f t="shared" ref="Y5:Y13" si="0">SUMPRODUCT(N5:W5)</f>
        <v>1</v>
      </c>
      <c r="Z5" s="8" t="s">
        <v>63</v>
      </c>
      <c r="AA5" s="8">
        <v>1</v>
      </c>
    </row>
    <row r="6" spans="1:27" x14ac:dyDescent="0.3">
      <c r="A6" t="s">
        <v>55</v>
      </c>
      <c r="B6" s="8">
        <v>2</v>
      </c>
      <c r="C6" s="8">
        <v>10</v>
      </c>
      <c r="D6" s="8">
        <v>3</v>
      </c>
      <c r="E6" s="8">
        <v>1</v>
      </c>
      <c r="F6" s="8">
        <v>3</v>
      </c>
      <c r="G6" s="8">
        <v>2</v>
      </c>
      <c r="H6" s="8">
        <v>7</v>
      </c>
      <c r="I6" s="8">
        <v>4</v>
      </c>
      <c r="J6" s="8">
        <v>2</v>
      </c>
      <c r="K6" s="8">
        <v>3</v>
      </c>
      <c r="M6" s="8" t="s">
        <v>55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12"/>
      <c r="Y6" s="5">
        <f t="shared" si="0"/>
        <v>1</v>
      </c>
      <c r="Z6" s="8" t="s">
        <v>63</v>
      </c>
      <c r="AA6" s="8">
        <v>1</v>
      </c>
    </row>
    <row r="7" spans="1:27" x14ac:dyDescent="0.3">
      <c r="A7" t="s">
        <v>56</v>
      </c>
      <c r="B7" s="8">
        <v>8</v>
      </c>
      <c r="C7" s="8">
        <v>4</v>
      </c>
      <c r="D7" s="8">
        <v>4</v>
      </c>
      <c r="E7" s="8">
        <v>4</v>
      </c>
      <c r="F7" s="8">
        <v>6</v>
      </c>
      <c r="G7" s="8">
        <v>7</v>
      </c>
      <c r="H7" s="8">
        <v>1</v>
      </c>
      <c r="I7" s="8">
        <v>5</v>
      </c>
      <c r="J7" s="8">
        <v>4</v>
      </c>
      <c r="K7" s="8">
        <v>5</v>
      </c>
      <c r="M7" s="8" t="s">
        <v>56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12"/>
      <c r="Y7" s="5">
        <f t="shared" si="0"/>
        <v>1</v>
      </c>
      <c r="Z7" s="8" t="s">
        <v>63</v>
      </c>
      <c r="AA7" s="8">
        <v>1</v>
      </c>
    </row>
    <row r="8" spans="1:27" x14ac:dyDescent="0.3">
      <c r="A8" t="s">
        <v>57</v>
      </c>
      <c r="B8" s="8">
        <v>9</v>
      </c>
      <c r="C8" s="8">
        <v>5</v>
      </c>
      <c r="D8" s="8">
        <v>5</v>
      </c>
      <c r="E8" s="8">
        <v>2</v>
      </c>
      <c r="F8" s="8">
        <v>4</v>
      </c>
      <c r="G8" s="8">
        <v>6</v>
      </c>
      <c r="H8" s="8">
        <v>2</v>
      </c>
      <c r="I8" s="8">
        <v>9</v>
      </c>
      <c r="J8" s="8">
        <v>5</v>
      </c>
      <c r="K8" s="8">
        <v>4</v>
      </c>
      <c r="M8" s="8" t="s">
        <v>57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12"/>
      <c r="Y8" s="5">
        <f t="shared" si="0"/>
        <v>1</v>
      </c>
      <c r="Z8" s="8" t="s">
        <v>63</v>
      </c>
      <c r="AA8" s="8">
        <v>1</v>
      </c>
    </row>
    <row r="9" spans="1:27" x14ac:dyDescent="0.3">
      <c r="A9" t="s">
        <v>58</v>
      </c>
      <c r="B9" s="8">
        <v>4</v>
      </c>
      <c r="C9" s="8">
        <v>3</v>
      </c>
      <c r="D9" s="8">
        <v>6</v>
      </c>
      <c r="E9" s="8">
        <v>5</v>
      </c>
      <c r="F9" s="8">
        <v>7</v>
      </c>
      <c r="G9" s="8">
        <v>5</v>
      </c>
      <c r="H9" s="8">
        <v>3</v>
      </c>
      <c r="I9" s="8">
        <v>10</v>
      </c>
      <c r="J9" s="8">
        <v>6</v>
      </c>
      <c r="K9" s="8">
        <v>8</v>
      </c>
      <c r="M9" s="8" t="s">
        <v>58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12"/>
      <c r="Y9" s="5">
        <f t="shared" si="0"/>
        <v>1</v>
      </c>
      <c r="Z9" s="8" t="s">
        <v>63</v>
      </c>
      <c r="AA9" s="8">
        <v>1</v>
      </c>
    </row>
    <row r="10" spans="1:27" x14ac:dyDescent="0.3">
      <c r="A10" t="s">
        <v>59</v>
      </c>
      <c r="B10" s="8">
        <v>5</v>
      </c>
      <c r="C10" s="8">
        <v>6</v>
      </c>
      <c r="D10" s="8">
        <v>7</v>
      </c>
      <c r="E10" s="8">
        <v>8</v>
      </c>
      <c r="F10" s="8">
        <v>10</v>
      </c>
      <c r="G10" s="8">
        <v>4</v>
      </c>
      <c r="H10" s="8">
        <v>8</v>
      </c>
      <c r="I10" s="8">
        <v>6</v>
      </c>
      <c r="J10" s="8">
        <v>10</v>
      </c>
      <c r="K10" s="8">
        <v>7</v>
      </c>
      <c r="M10" s="8" t="s">
        <v>59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1</v>
      </c>
      <c r="W10" s="9">
        <v>0</v>
      </c>
      <c r="X10" s="12"/>
      <c r="Y10" s="5">
        <f t="shared" si="0"/>
        <v>1</v>
      </c>
      <c r="Z10" s="8" t="s">
        <v>63</v>
      </c>
      <c r="AA10" s="8">
        <v>1</v>
      </c>
    </row>
    <row r="11" spans="1:27" x14ac:dyDescent="0.3">
      <c r="A11" t="s">
        <v>60</v>
      </c>
      <c r="B11" s="8">
        <v>7</v>
      </c>
      <c r="C11" s="8">
        <v>7</v>
      </c>
      <c r="D11" s="8">
        <v>8</v>
      </c>
      <c r="E11" s="8">
        <v>9</v>
      </c>
      <c r="F11" s="8">
        <v>1</v>
      </c>
      <c r="G11" s="8">
        <v>10</v>
      </c>
      <c r="H11" s="8">
        <v>9</v>
      </c>
      <c r="I11" s="8">
        <v>8</v>
      </c>
      <c r="J11" s="8">
        <v>9</v>
      </c>
      <c r="K11" s="8">
        <v>6</v>
      </c>
      <c r="M11" s="8" t="s">
        <v>60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12"/>
      <c r="Y11" s="5">
        <f t="shared" si="0"/>
        <v>1</v>
      </c>
      <c r="Z11" s="8" t="s">
        <v>63</v>
      </c>
      <c r="AA11" s="8">
        <v>1</v>
      </c>
    </row>
    <row r="12" spans="1:27" x14ac:dyDescent="0.3">
      <c r="A12" t="s">
        <v>61</v>
      </c>
      <c r="B12" s="8">
        <v>6</v>
      </c>
      <c r="C12" s="8">
        <v>8</v>
      </c>
      <c r="D12" s="8">
        <v>9</v>
      </c>
      <c r="E12" s="8">
        <v>10</v>
      </c>
      <c r="F12" s="8">
        <v>2</v>
      </c>
      <c r="G12" s="8">
        <v>8</v>
      </c>
      <c r="H12" s="8">
        <v>10</v>
      </c>
      <c r="I12" s="8">
        <v>7</v>
      </c>
      <c r="J12" s="8">
        <v>7</v>
      </c>
      <c r="K12" s="8">
        <v>10</v>
      </c>
      <c r="M12" s="8" t="s">
        <v>61</v>
      </c>
      <c r="N12" s="9">
        <v>0</v>
      </c>
      <c r="O12" s="9">
        <v>0</v>
      </c>
      <c r="P12" s="9">
        <v>0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12"/>
      <c r="Y12" s="5">
        <f t="shared" si="0"/>
        <v>1</v>
      </c>
      <c r="Z12" s="8" t="s">
        <v>63</v>
      </c>
      <c r="AA12" s="8">
        <v>1</v>
      </c>
    </row>
    <row r="13" spans="1:27" x14ac:dyDescent="0.3">
      <c r="A13" t="s">
        <v>62</v>
      </c>
      <c r="B13" s="8">
        <v>10</v>
      </c>
      <c r="C13" s="8">
        <v>9</v>
      </c>
      <c r="D13" s="8">
        <v>10</v>
      </c>
      <c r="E13" s="8">
        <v>6</v>
      </c>
      <c r="F13" s="8">
        <v>8</v>
      </c>
      <c r="G13" s="8">
        <v>1</v>
      </c>
      <c r="H13" s="8">
        <v>4</v>
      </c>
      <c r="I13" s="8">
        <v>3</v>
      </c>
      <c r="J13" s="8">
        <v>8</v>
      </c>
      <c r="K13" s="8">
        <v>9</v>
      </c>
      <c r="M13" s="8" t="s">
        <v>62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12"/>
      <c r="Y13" s="5">
        <f t="shared" si="0"/>
        <v>1</v>
      </c>
      <c r="Z13" s="8" t="s">
        <v>63</v>
      </c>
      <c r="AA13" s="8">
        <v>1</v>
      </c>
    </row>
    <row r="14" spans="1:27" x14ac:dyDescent="0.3"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7" x14ac:dyDescent="0.3">
      <c r="M15" s="10"/>
      <c r="N15" s="14">
        <f>SUMPRODUCT(N4:N13)</f>
        <v>1</v>
      </c>
      <c r="O15" s="14">
        <f>SUMPRODUCT(O4:O13)</f>
        <v>1</v>
      </c>
      <c r="P15" s="14">
        <f t="shared" ref="O15:W15" si="1">SUMPRODUCT(P4:P13)</f>
        <v>1</v>
      </c>
      <c r="Q15" s="14">
        <f t="shared" si="1"/>
        <v>1</v>
      </c>
      <c r="R15" s="14">
        <f t="shared" si="1"/>
        <v>1</v>
      </c>
      <c r="S15" s="14">
        <f t="shared" si="1"/>
        <v>1</v>
      </c>
      <c r="T15" s="14">
        <f t="shared" si="1"/>
        <v>1</v>
      </c>
      <c r="U15" s="14">
        <f t="shared" si="1"/>
        <v>1</v>
      </c>
      <c r="V15" s="14">
        <f t="shared" si="1"/>
        <v>1</v>
      </c>
      <c r="W15" s="14">
        <f t="shared" si="1"/>
        <v>1</v>
      </c>
      <c r="X15" s="10"/>
      <c r="Y15" s="3">
        <f>SUMPRODUCT(B4:K13,N4:W13)</f>
        <v>89</v>
      </c>
    </row>
    <row r="16" spans="1:27" x14ac:dyDescent="0.3">
      <c r="A16" s="13"/>
      <c r="B16" s="11"/>
      <c r="C16" s="11"/>
      <c r="D16" s="11"/>
      <c r="E16" s="11"/>
      <c r="F16" s="11"/>
      <c r="G16" s="11"/>
      <c r="H16" s="11"/>
      <c r="I16" s="11"/>
      <c r="J16" s="11"/>
      <c r="K16" s="11"/>
      <c r="M16" s="10"/>
      <c r="N16" s="15" t="s">
        <v>64</v>
      </c>
      <c r="O16" s="15" t="s">
        <v>64</v>
      </c>
      <c r="P16" s="15" t="s">
        <v>64</v>
      </c>
      <c r="Q16" s="15" t="s">
        <v>64</v>
      </c>
      <c r="R16" s="15" t="s">
        <v>64</v>
      </c>
      <c r="S16" s="15" t="s">
        <v>64</v>
      </c>
      <c r="T16" s="15" t="s">
        <v>64</v>
      </c>
      <c r="U16" s="15" t="s">
        <v>64</v>
      </c>
      <c r="V16" s="15" t="s">
        <v>64</v>
      </c>
      <c r="W16" s="15" t="s">
        <v>64</v>
      </c>
      <c r="X16" s="10"/>
    </row>
    <row r="17" spans="1:23" x14ac:dyDescent="0.3">
      <c r="A17" s="13"/>
      <c r="B17" s="11"/>
      <c r="C17" s="11"/>
      <c r="D17" s="11"/>
      <c r="E17" s="11"/>
      <c r="F17" s="11"/>
      <c r="G17" s="11"/>
      <c r="H17" s="11"/>
      <c r="I17" s="11"/>
      <c r="J17" s="11"/>
      <c r="K17" s="11"/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</row>
    <row r="18" spans="1:23" x14ac:dyDescent="0.3">
      <c r="A18" s="13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23" x14ac:dyDescent="0.3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23" x14ac:dyDescent="0.3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23" x14ac:dyDescent="0.3">
      <c r="A21" s="13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23" x14ac:dyDescent="0.3">
      <c r="A22" s="13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23" x14ac:dyDescent="0.3">
      <c r="A23" s="13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23" x14ac:dyDescent="0.3">
      <c r="A24" s="13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23" x14ac:dyDescent="0.3">
      <c r="A25" s="13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23" x14ac:dyDescent="0.3">
      <c r="A26" s="13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23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Folha3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Baptista</dc:creator>
  <cp:lastModifiedBy>Luís Baptista</cp:lastModifiedBy>
  <dcterms:created xsi:type="dcterms:W3CDTF">2024-02-22T13:20:38Z</dcterms:created>
  <dcterms:modified xsi:type="dcterms:W3CDTF">2024-02-22T14:57:41Z</dcterms:modified>
</cp:coreProperties>
</file>